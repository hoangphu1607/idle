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121803\Desktop\File\"/>
    </mc:Choice>
  </mc:AlternateContent>
  <bookViews>
    <workbookView xWindow="0" yWindow="0" windowWidth="28800" windowHeight="12180"/>
  </bookViews>
  <sheets>
    <sheet name="Albion Profit" sheetId="1" r:id="rId1"/>
  </sheets>
  <calcPr calcId="162913"/>
</workbook>
</file>

<file path=xl/calcChain.xml><?xml version="1.0" encoding="utf-8"?>
<calcChain xmlns="http://schemas.openxmlformats.org/spreadsheetml/2006/main">
  <c r="D2" i="1" l="1"/>
  <c r="E2" i="1" s="1"/>
  <c r="H2" i="1"/>
  <c r="H3" i="1"/>
  <c r="I3" i="1" s="1"/>
  <c r="H4" i="1"/>
  <c r="I4" i="1" s="1"/>
  <c r="J4" i="1" s="1"/>
  <c r="H5" i="1"/>
  <c r="I5" i="1" s="1"/>
  <c r="J5" i="1" s="1"/>
  <c r="H6" i="1"/>
  <c r="H7" i="1"/>
  <c r="H8" i="1"/>
  <c r="I8" i="1" s="1"/>
  <c r="J8" i="1" s="1"/>
  <c r="H9" i="1"/>
  <c r="I9" i="1" s="1"/>
  <c r="J9" i="1" s="1"/>
  <c r="H10" i="1"/>
  <c r="H11" i="1"/>
  <c r="H12" i="1"/>
  <c r="I12" i="1" s="1"/>
  <c r="J12" i="1" s="1"/>
  <c r="H13" i="1"/>
  <c r="I13" i="1" s="1"/>
  <c r="J13" i="1" s="1"/>
  <c r="H14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F11" i="1" l="1"/>
  <c r="F3" i="1"/>
  <c r="J10" i="1"/>
  <c r="I11" i="1"/>
  <c r="J11" i="1" s="1"/>
  <c r="K11" i="1" s="1"/>
  <c r="I7" i="1"/>
  <c r="J7" i="1" s="1"/>
  <c r="F7" i="1"/>
  <c r="I14" i="1"/>
  <c r="J14" i="1" s="1"/>
  <c r="I10" i="1"/>
  <c r="I6" i="1"/>
  <c r="J6" i="1" s="1"/>
  <c r="I2" i="1"/>
  <c r="J2" i="1" s="1"/>
  <c r="J3" i="1"/>
  <c r="F8" i="1"/>
  <c r="K8" i="1" s="1"/>
  <c r="F12" i="1"/>
  <c r="K12" i="1" s="1"/>
  <c r="F4" i="1"/>
  <c r="K4" i="1" s="1"/>
  <c r="F2" i="1"/>
  <c r="F14" i="1"/>
  <c r="F10" i="1"/>
  <c r="F6" i="1"/>
  <c r="F13" i="1"/>
  <c r="K13" i="1" s="1"/>
  <c r="F9" i="1"/>
  <c r="K9" i="1" s="1"/>
  <c r="F5" i="1"/>
  <c r="K5" i="1" s="1"/>
  <c r="K3" i="1" l="1"/>
  <c r="K2" i="1"/>
  <c r="K7" i="1"/>
  <c r="K6" i="1"/>
  <c r="K10" i="1"/>
  <c r="K14" i="1"/>
</calcChain>
</file>

<file path=xl/sharedStrings.xml><?xml version="1.0" encoding="utf-8"?>
<sst xmlns="http://schemas.openxmlformats.org/spreadsheetml/2006/main" count="17" uniqueCount="15">
  <si>
    <t>Buy Price</t>
  </si>
  <si>
    <t>Sell Price</t>
  </si>
  <si>
    <t>Buy Fee</t>
  </si>
  <si>
    <t>Sales Tax</t>
  </si>
  <si>
    <t>Profit</t>
  </si>
  <si>
    <t>Premium rates</t>
  </si>
  <si>
    <t>Sell Setup</t>
  </si>
  <si>
    <t>Item</t>
  </si>
  <si>
    <t>Ore 5.2</t>
  </si>
  <si>
    <t>Quality</t>
  </si>
  <si>
    <t>Gross Cost</t>
  </si>
  <si>
    <t>After Fees</t>
  </si>
  <si>
    <t>Gross Income</t>
  </si>
  <si>
    <t>After Fees2</t>
  </si>
  <si>
    <t>Bar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</si>
</sst>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2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K14" totalsRowShown="0" headerRowDxfId="11" dataDxfId="10" dataCellStyle="Comma">
  <autoFilter ref="B1:K14"/>
  <tableColumns count="10">
    <tableColumn id="1" name="Buy Price" dataDxfId="9" dataCellStyle="Comma"/>
    <tableColumn id="11" name="Quality" dataDxfId="8" dataCellStyle="Comma"/>
    <tableColumn id="13" name="Gross Cost" dataDxfId="7" dataCellStyle="Comma">
      <calculatedColumnFormula>Table1[[#This Row],[Buy Price]]*Table1[[#This Row],[Quality]]</calculatedColumnFormula>
    </tableColumn>
    <tableColumn id="12" name="Buy Fee" dataDxfId="6" dataCellStyle="Comma">
      <calculatedColumnFormula>Table1[[#This Row],[Gross Cost]]*$M$2</calculatedColumnFormula>
    </tableColumn>
    <tableColumn id="14" name="After Fees" dataDxfId="5" dataCellStyle="Comma">
      <calculatedColumnFormula>Table1[[#This Row],[Gross Cost]]+Table1[[#This Row],[Buy Fee]]</calculatedColumnFormula>
    </tableColumn>
    <tableColumn id="2" name="Sell Price" dataDxfId="4" dataCellStyle="Comma"/>
    <tableColumn id="5" name="Gross Income" dataDxfId="3" dataCellStyle="Comma">
      <calculatedColumnFormula>Table1[[#This Row],[Sell Price]]*Table1[[#This Row],[Quality]]</calculatedColumnFormula>
    </tableColumn>
    <tableColumn id="6" name="Sales Tax" dataDxfId="2" dataCellStyle="Comma">
      <calculatedColumnFormula>Table1[[#This Row],[Gross Income]]*(M3+M4)</calculatedColumnFormula>
    </tableColumn>
    <tableColumn id="7" name="After Fees2" dataDxfId="1" dataCellStyle="Comma">
      <calculatedColumnFormula>H2-I2</calculatedColumnFormula>
    </tableColumn>
    <tableColumn id="8" name="Profit" dataDxfId="0" dataCellStyle="Comma">
      <calculatedColumnFormula>Table1[[#This Row],[After Fees2]]-Table1[[#This Row],[After Fees]]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M27" sqref="M27"/>
    </sheetView>
  </sheetViews>
  <sheetFormatPr defaultRowHeight="15" x14ac:dyDescent="0.25"/>
  <cols>
    <col min="2" max="3" width="11.28515625" customWidth="1"/>
    <col min="4" max="4" width="16.7109375" bestFit="1" customWidth="1"/>
    <col min="5" max="7" width="11.28515625" customWidth="1"/>
    <col min="8" max="8" width="15.7109375" customWidth="1"/>
    <col min="9" max="9" width="11.140625" customWidth="1"/>
    <col min="10" max="10" width="19.85546875" customWidth="1"/>
    <col min="11" max="11" width="13.28515625" bestFit="1" customWidth="1"/>
    <col min="12" max="12" width="14.140625" bestFit="1" customWidth="1"/>
  </cols>
  <sheetData>
    <row r="1" spans="1:13" x14ac:dyDescent="0.25">
      <c r="A1" t="s">
        <v>7</v>
      </c>
      <c r="B1" s="1" t="s">
        <v>0</v>
      </c>
      <c r="C1" s="1" t="s">
        <v>9</v>
      </c>
      <c r="D1" s="1" t="s">
        <v>10</v>
      </c>
      <c r="E1" s="1" t="s">
        <v>2</v>
      </c>
      <c r="F1" s="1" t="s">
        <v>11</v>
      </c>
      <c r="G1" s="1" t="s">
        <v>1</v>
      </c>
      <c r="H1" s="1" t="s">
        <v>12</v>
      </c>
      <c r="I1" s="1" t="s">
        <v>3</v>
      </c>
      <c r="J1" s="1" t="s">
        <v>13</v>
      </c>
      <c r="K1" s="1" t="s">
        <v>4</v>
      </c>
      <c r="L1" t="s">
        <v>5</v>
      </c>
    </row>
    <row r="2" spans="1:13" x14ac:dyDescent="0.25">
      <c r="A2" t="s">
        <v>8</v>
      </c>
      <c r="B2" s="2">
        <v>8600</v>
      </c>
      <c r="C2" s="2">
        <v>2000</v>
      </c>
      <c r="D2" s="2">
        <f>Table1[[#This Row],[Buy Price]]*Table1[[#This Row],[Quality]]</f>
        <v>17200000</v>
      </c>
      <c r="E2" s="2">
        <f>Table1[[#This Row],[Gross Cost]]*$M$2</f>
        <v>430000</v>
      </c>
      <c r="F2" s="2">
        <f>Table1[[#This Row],[Gross Cost]]+Table1[[#This Row],[Buy Fee]]</f>
        <v>17630000</v>
      </c>
      <c r="G2" s="2">
        <v>11900</v>
      </c>
      <c r="H2" s="2">
        <f>Table1[[#This Row],[Sell Price]]*Table1[[#This Row],[Quality]]</f>
        <v>23800000</v>
      </c>
      <c r="I2" s="2">
        <f>Table1[[#This Row],[Gross Income]]*(M3+M4)</f>
        <v>1547000</v>
      </c>
      <c r="J2" s="2">
        <f t="shared" ref="J2:J14" si="0">H2-I2</f>
        <v>22253000</v>
      </c>
      <c r="K2" s="2">
        <f>Table1[[#This Row],[After Fees2]]-Table1[[#This Row],[After Fees]]</f>
        <v>4623000</v>
      </c>
      <c r="L2" t="s">
        <v>2</v>
      </c>
      <c r="M2">
        <v>2.5000000000000001E-2</v>
      </c>
    </row>
    <row r="3" spans="1:13" x14ac:dyDescent="0.25">
      <c r="A3" t="s">
        <v>14</v>
      </c>
      <c r="B3" s="2">
        <v>1200</v>
      </c>
      <c r="C3" s="2">
        <v>5000</v>
      </c>
      <c r="D3" s="2">
        <f>Table1[[#This Row],[Buy Price]]*Table1[[#This Row],[Quality]]</f>
        <v>6000000</v>
      </c>
      <c r="E3" s="2">
        <f>Table1[[#This Row],[Gross Cost]]*$M$2</f>
        <v>150000</v>
      </c>
      <c r="F3" s="2">
        <f>Table1[[#This Row],[Gross Cost]]+Table1[[#This Row],[Buy Fee]]</f>
        <v>6150000</v>
      </c>
      <c r="G3" s="2">
        <v>1500</v>
      </c>
      <c r="H3" s="2">
        <f>Table1[[#This Row],[Sell Price]]*Table1[[#This Row],[Quality]]</f>
        <v>7500000</v>
      </c>
      <c r="I3" s="2">
        <f>Table1[[#This Row],[Gross Income]]*(M4+M5)</f>
        <v>300000</v>
      </c>
      <c r="J3" s="2">
        <f t="shared" si="0"/>
        <v>7200000</v>
      </c>
      <c r="K3" s="2">
        <f>Table1[[#This Row],[After Fees2]]-Table1[[#This Row],[After Fees]]</f>
        <v>1050000</v>
      </c>
      <c r="L3" t="s">
        <v>6</v>
      </c>
      <c r="M3">
        <v>2.5000000000000001E-2</v>
      </c>
    </row>
    <row r="4" spans="1:13" x14ac:dyDescent="0.25">
      <c r="B4" s="2"/>
      <c r="C4" s="2"/>
      <c r="D4" s="2">
        <f>Table1[[#This Row],[Buy Price]]*Table1[[#This Row],[Quality]]</f>
        <v>0</v>
      </c>
      <c r="E4" s="2">
        <f>Table1[[#This Row],[Gross Cost]]*$M$2</f>
        <v>0</v>
      </c>
      <c r="F4" s="2">
        <f>Table1[[#This Row],[Gross Cost]]+Table1[[#This Row],[Buy Fee]]</f>
        <v>0</v>
      </c>
      <c r="G4" s="2"/>
      <c r="H4" s="2">
        <f>Table1[[#This Row],[Sell Price]]*Table1[[#This Row],[Quality]]</f>
        <v>0</v>
      </c>
      <c r="I4" s="2">
        <f>Table1[[#This Row],[Gross Income]]*(M5+M6)</f>
        <v>0</v>
      </c>
      <c r="J4" s="2">
        <f t="shared" si="0"/>
        <v>0</v>
      </c>
      <c r="K4" s="2">
        <f>Table1[[#This Row],[After Fees2]]-Table1[[#This Row],[After Fees]]</f>
        <v>0</v>
      </c>
      <c r="L4" t="s">
        <v>3</v>
      </c>
      <c r="M4">
        <v>0.04</v>
      </c>
    </row>
    <row r="5" spans="1:13" x14ac:dyDescent="0.25">
      <c r="B5" s="2"/>
      <c r="C5" s="2"/>
      <c r="D5" s="2">
        <f>Table1[[#This Row],[Buy Price]]*Table1[[#This Row],[Quality]]</f>
        <v>0</v>
      </c>
      <c r="E5" s="2">
        <f>Table1[[#This Row],[Gross Cost]]*$M$2</f>
        <v>0</v>
      </c>
      <c r="F5" s="2">
        <f>Table1[[#This Row],[Gross Cost]]+Table1[[#This Row],[Buy Fee]]</f>
        <v>0</v>
      </c>
      <c r="G5" s="2"/>
      <c r="H5" s="2">
        <f>Table1[[#This Row],[Sell Price]]*Table1[[#This Row],[Quality]]</f>
        <v>0</v>
      </c>
      <c r="I5" s="2">
        <f>Table1[[#This Row],[Gross Income]]*(M6+M7)</f>
        <v>0</v>
      </c>
      <c r="J5" s="2">
        <f t="shared" si="0"/>
        <v>0</v>
      </c>
      <c r="K5" s="2">
        <f>Table1[[#This Row],[After Fees2]]-Table1[[#This Row],[After Fees]]</f>
        <v>0</v>
      </c>
    </row>
    <row r="6" spans="1:13" x14ac:dyDescent="0.25">
      <c r="B6" s="2"/>
      <c r="C6" s="2"/>
      <c r="D6" s="2">
        <f>Table1[[#This Row],[Buy Price]]*Table1[[#This Row],[Quality]]</f>
        <v>0</v>
      </c>
      <c r="E6" s="2">
        <f>Table1[[#This Row],[Gross Cost]]*$M$2</f>
        <v>0</v>
      </c>
      <c r="F6" s="2">
        <f>Table1[[#This Row],[Gross Cost]]+Table1[[#This Row],[Buy Fee]]</f>
        <v>0</v>
      </c>
      <c r="G6" s="2"/>
      <c r="H6" s="2">
        <f>Table1[[#This Row],[Sell Price]]*Table1[[#This Row],[Quality]]</f>
        <v>0</v>
      </c>
      <c r="I6" s="2">
        <f>Table1[[#This Row],[Gross Income]]*(M7+M8)</f>
        <v>0</v>
      </c>
      <c r="J6" s="2">
        <f t="shared" si="0"/>
        <v>0</v>
      </c>
      <c r="K6" s="2">
        <f>Table1[[#This Row],[After Fees2]]-Table1[[#This Row],[After Fees]]</f>
        <v>0</v>
      </c>
    </row>
    <row r="7" spans="1:13" x14ac:dyDescent="0.25">
      <c r="B7" s="2"/>
      <c r="C7" s="2"/>
      <c r="D7" s="2">
        <f>Table1[[#This Row],[Buy Price]]*Table1[[#This Row],[Quality]]</f>
        <v>0</v>
      </c>
      <c r="E7" s="2">
        <f>Table1[[#This Row],[Gross Cost]]*$M$2</f>
        <v>0</v>
      </c>
      <c r="F7" s="2">
        <f>Table1[[#This Row],[Gross Cost]]+Table1[[#This Row],[Buy Fee]]</f>
        <v>0</v>
      </c>
      <c r="G7" s="2"/>
      <c r="H7" s="2">
        <f>Table1[[#This Row],[Sell Price]]*Table1[[#This Row],[Quality]]</f>
        <v>0</v>
      </c>
      <c r="I7" s="2">
        <f>Table1[[#This Row],[Gross Income]]*(M8+M9)</f>
        <v>0</v>
      </c>
      <c r="J7" s="2">
        <f t="shared" si="0"/>
        <v>0</v>
      </c>
      <c r="K7" s="2">
        <f>Table1[[#This Row],[After Fees2]]-Table1[[#This Row],[After Fees]]</f>
        <v>0</v>
      </c>
    </row>
    <row r="8" spans="1:13" x14ac:dyDescent="0.25">
      <c r="B8" s="2"/>
      <c r="C8" s="2"/>
      <c r="D8" s="2">
        <f>Table1[[#This Row],[Buy Price]]*Table1[[#This Row],[Quality]]</f>
        <v>0</v>
      </c>
      <c r="E8" s="2">
        <f>Table1[[#This Row],[Gross Cost]]*$M$2</f>
        <v>0</v>
      </c>
      <c r="F8" s="2">
        <f>Table1[[#This Row],[Gross Cost]]+Table1[[#This Row],[Buy Fee]]</f>
        <v>0</v>
      </c>
      <c r="G8" s="2"/>
      <c r="H8" s="2">
        <f>Table1[[#This Row],[Sell Price]]*Table1[[#This Row],[Quality]]</f>
        <v>0</v>
      </c>
      <c r="I8" s="2">
        <f>Table1[[#This Row],[Gross Income]]*(M9+M10)</f>
        <v>0</v>
      </c>
      <c r="J8" s="2">
        <f t="shared" si="0"/>
        <v>0</v>
      </c>
      <c r="K8" s="2">
        <f>Table1[[#This Row],[After Fees2]]-Table1[[#This Row],[After Fees]]</f>
        <v>0</v>
      </c>
    </row>
    <row r="9" spans="1:13" x14ac:dyDescent="0.25">
      <c r="B9" s="2"/>
      <c r="C9" s="2"/>
      <c r="D9" s="2">
        <f>Table1[[#This Row],[Buy Price]]*Table1[[#This Row],[Quality]]</f>
        <v>0</v>
      </c>
      <c r="E9" s="2">
        <f>Table1[[#This Row],[Gross Cost]]*$M$2</f>
        <v>0</v>
      </c>
      <c r="F9" s="2">
        <f>Table1[[#This Row],[Gross Cost]]+Table1[[#This Row],[Buy Fee]]</f>
        <v>0</v>
      </c>
      <c r="G9" s="2"/>
      <c r="H9" s="2">
        <f>Table1[[#This Row],[Sell Price]]*Table1[[#This Row],[Quality]]</f>
        <v>0</v>
      </c>
      <c r="I9" s="2">
        <f>Table1[[#This Row],[Gross Income]]*(M10+M11)</f>
        <v>0</v>
      </c>
      <c r="J9" s="2">
        <f t="shared" si="0"/>
        <v>0</v>
      </c>
      <c r="K9" s="2">
        <f>Table1[[#This Row],[After Fees2]]-Table1[[#This Row],[After Fees]]</f>
        <v>0</v>
      </c>
    </row>
    <row r="10" spans="1:13" x14ac:dyDescent="0.25">
      <c r="B10" s="2"/>
      <c r="C10" s="2"/>
      <c r="D10" s="2">
        <f>Table1[[#This Row],[Buy Price]]*Table1[[#This Row],[Quality]]</f>
        <v>0</v>
      </c>
      <c r="E10" s="2">
        <f>Table1[[#This Row],[Gross Cost]]*$M$2</f>
        <v>0</v>
      </c>
      <c r="F10" s="2">
        <f>Table1[[#This Row],[Gross Cost]]+Table1[[#This Row],[Buy Fee]]</f>
        <v>0</v>
      </c>
      <c r="G10" s="2"/>
      <c r="H10" s="2">
        <f>Table1[[#This Row],[Sell Price]]*Table1[[#This Row],[Quality]]</f>
        <v>0</v>
      </c>
      <c r="I10" s="2">
        <f>Table1[[#This Row],[Gross Income]]*(M11+M12)</f>
        <v>0</v>
      </c>
      <c r="J10" s="2">
        <f t="shared" si="0"/>
        <v>0</v>
      </c>
      <c r="K10" s="2">
        <f>Table1[[#This Row],[After Fees2]]-Table1[[#This Row],[After Fees]]</f>
        <v>0</v>
      </c>
    </row>
    <row r="11" spans="1:13" x14ac:dyDescent="0.25">
      <c r="B11" s="2"/>
      <c r="C11" s="2"/>
      <c r="D11" s="2">
        <f>Table1[[#This Row],[Buy Price]]*Table1[[#This Row],[Quality]]</f>
        <v>0</v>
      </c>
      <c r="E11" s="2">
        <f>Table1[[#This Row],[Gross Cost]]*$M$2</f>
        <v>0</v>
      </c>
      <c r="F11" s="2">
        <f>Table1[[#This Row],[Gross Cost]]+Table1[[#This Row],[Buy Fee]]</f>
        <v>0</v>
      </c>
      <c r="G11" s="2"/>
      <c r="H11" s="2">
        <f>Table1[[#This Row],[Sell Price]]*Table1[[#This Row],[Quality]]</f>
        <v>0</v>
      </c>
      <c r="I11" s="2">
        <f>Table1[[#This Row],[Gross Income]]*(M12+M13)</f>
        <v>0</v>
      </c>
      <c r="J11" s="2">
        <f t="shared" si="0"/>
        <v>0</v>
      </c>
      <c r="K11" s="2">
        <f>Table1[[#This Row],[After Fees2]]-Table1[[#This Row],[After Fees]]</f>
        <v>0</v>
      </c>
    </row>
    <row r="12" spans="1:13" x14ac:dyDescent="0.25">
      <c r="B12" s="2"/>
      <c r="C12" s="2"/>
      <c r="D12" s="2">
        <f>Table1[[#This Row],[Buy Price]]*Table1[[#This Row],[Quality]]</f>
        <v>0</v>
      </c>
      <c r="E12" s="2">
        <f>Table1[[#This Row],[Gross Cost]]*$M$2</f>
        <v>0</v>
      </c>
      <c r="F12" s="2">
        <f>Table1[[#This Row],[Gross Cost]]+Table1[[#This Row],[Buy Fee]]</f>
        <v>0</v>
      </c>
      <c r="G12" s="2"/>
      <c r="H12" s="2">
        <f>Table1[[#This Row],[Sell Price]]*Table1[[#This Row],[Quality]]</f>
        <v>0</v>
      </c>
      <c r="I12" s="2">
        <f>Table1[[#This Row],[Gross Income]]*(M13+M14)</f>
        <v>0</v>
      </c>
      <c r="J12" s="2">
        <f t="shared" si="0"/>
        <v>0</v>
      </c>
      <c r="K12" s="2">
        <f>Table1[[#This Row],[After Fees2]]-Table1[[#This Row],[After Fees]]</f>
        <v>0</v>
      </c>
    </row>
    <row r="13" spans="1:13" x14ac:dyDescent="0.25">
      <c r="B13" s="2"/>
      <c r="C13" s="2"/>
      <c r="D13" s="2">
        <f>Table1[[#This Row],[Buy Price]]*Table1[[#This Row],[Quality]]</f>
        <v>0</v>
      </c>
      <c r="E13" s="2">
        <f>Table1[[#This Row],[Gross Cost]]*$M$2</f>
        <v>0</v>
      </c>
      <c r="F13" s="2">
        <f>Table1[[#This Row],[Gross Cost]]+Table1[[#This Row],[Buy Fee]]</f>
        <v>0</v>
      </c>
      <c r="G13" s="2"/>
      <c r="H13" s="2">
        <f>Table1[[#This Row],[Sell Price]]*Table1[[#This Row],[Quality]]</f>
        <v>0</v>
      </c>
      <c r="I13" s="2">
        <f>Table1[[#This Row],[Gross Income]]*(M14+M15)</f>
        <v>0</v>
      </c>
      <c r="J13" s="2">
        <f t="shared" si="0"/>
        <v>0</v>
      </c>
      <c r="K13" s="2">
        <f>Table1[[#This Row],[After Fees2]]-Table1[[#This Row],[After Fees]]</f>
        <v>0</v>
      </c>
    </row>
    <row r="14" spans="1:13" x14ac:dyDescent="0.25">
      <c r="B14" s="2"/>
      <c r="C14" s="2"/>
      <c r="D14" s="2">
        <f>Table1[[#This Row],[Buy Price]]*Table1[[#This Row],[Quality]]</f>
        <v>0</v>
      </c>
      <c r="E14" s="2">
        <f>Table1[[#This Row],[Gross Cost]]*$M$2</f>
        <v>0</v>
      </c>
      <c r="F14" s="2">
        <f>Table1[[#This Row],[Gross Cost]]+Table1[[#This Row],[Buy Fee]]</f>
        <v>0</v>
      </c>
      <c r="G14" s="2"/>
      <c r="H14" s="2">
        <f>Table1[[#This Row],[Sell Price]]*Table1[[#This Row],[Quality]]</f>
        <v>0</v>
      </c>
      <c r="I14" s="2">
        <f>Table1[[#This Row],[Gross Income]]*(M15+M16)</f>
        <v>0</v>
      </c>
      <c r="J14" s="2">
        <f t="shared" si="0"/>
        <v>0</v>
      </c>
      <c r="K14" s="2">
        <f>Table1[[#This Row],[After Fees2]]-Table1[[#This Row],[After Fees]]</f>
        <v>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Albion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B121803</cp:lastModifiedBy>
  <dcterms:created xsi:type="dcterms:W3CDTF">2026-07-14T06:07:34Z</dcterms:created>
  <dcterms:modified xsi:type="dcterms:W3CDTF">2026-08-11T08:26:37Z</dcterms:modified>
</cp:coreProperties>
</file>