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aveCode\Phaser\idle-game\idle\"/>
    </mc:Choice>
  </mc:AlternateContent>
  <bookViews>
    <workbookView xWindow="0" yWindow="0" windowWidth="28800" windowHeight="12180" activeTab="2"/>
  </bookViews>
  <sheets>
    <sheet name="Sheet1" sheetId="1" r:id="rId1"/>
    <sheet name="Check Price" sheetId="2" r:id="rId2"/>
    <sheet name="Check craft" sheetId="3" r:id="rId3"/>
    <sheet name="Sheet3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3" l="1"/>
  <c r="G11" i="3"/>
  <c r="H11" i="3"/>
  <c r="E11" i="3"/>
  <c r="J3" i="1" l="1"/>
  <c r="K3" i="1"/>
  <c r="G3" i="1"/>
  <c r="M3" i="1"/>
  <c r="M4" i="1"/>
  <c r="M5" i="1"/>
  <c r="M6" i="1"/>
  <c r="M7" i="1"/>
  <c r="M8" i="1"/>
  <c r="M9" i="1"/>
  <c r="M10" i="1"/>
  <c r="M11" i="1"/>
  <c r="M12" i="1"/>
  <c r="M13" i="1"/>
  <c r="M14" i="1"/>
  <c r="N14" i="1" s="1"/>
  <c r="L3" i="1"/>
  <c r="L4" i="1"/>
  <c r="L5" i="1"/>
  <c r="L6" i="1"/>
  <c r="L7" i="1"/>
  <c r="L8" i="1"/>
  <c r="L9" i="1"/>
  <c r="L10" i="1"/>
  <c r="L11" i="1"/>
  <c r="L12" i="1"/>
  <c r="L13" i="1"/>
  <c r="L14" i="1"/>
  <c r="K4" i="1"/>
  <c r="K5" i="1"/>
  <c r="K6" i="1"/>
  <c r="K7" i="1"/>
  <c r="K8" i="1"/>
  <c r="K9" i="1"/>
  <c r="K10" i="1"/>
  <c r="K11" i="1"/>
  <c r="K12" i="1"/>
  <c r="K13" i="1"/>
  <c r="K14" i="1"/>
  <c r="J4" i="1"/>
  <c r="J5" i="1"/>
  <c r="J6" i="1"/>
  <c r="J7" i="1"/>
  <c r="J8" i="1"/>
  <c r="J9" i="1"/>
  <c r="J10" i="1"/>
  <c r="J11" i="1"/>
  <c r="J12" i="1"/>
  <c r="J13" i="1"/>
  <c r="J14" i="1"/>
  <c r="J2" i="1"/>
  <c r="K2" i="1" s="1"/>
  <c r="L2" i="1" s="1"/>
  <c r="G4" i="1"/>
  <c r="G5" i="1"/>
  <c r="G6" i="1"/>
  <c r="G7" i="1"/>
  <c r="G8" i="1"/>
  <c r="G9" i="1"/>
  <c r="G10" i="1"/>
  <c r="G11" i="1"/>
  <c r="G12" i="1"/>
  <c r="G13" i="1"/>
  <c r="G14" i="1"/>
  <c r="G2" i="1"/>
  <c r="G15" i="1" s="1"/>
  <c r="N3" i="1"/>
  <c r="N4" i="1"/>
  <c r="N5" i="1"/>
  <c r="N7" i="1"/>
  <c r="N8" i="1"/>
  <c r="N9" i="1"/>
  <c r="N11" i="1"/>
  <c r="N12" i="1"/>
  <c r="N13" i="1"/>
  <c r="H15" i="1"/>
  <c r="D1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K15" i="1" l="1"/>
  <c r="F15" i="1"/>
  <c r="J15" i="1"/>
  <c r="L15" i="1"/>
  <c r="N10" i="1"/>
  <c r="N6" i="1"/>
  <c r="M2" i="1"/>
  <c r="N2" i="1" s="1"/>
  <c r="M15" i="1" l="1"/>
  <c r="N15" i="1" s="1"/>
</calcChain>
</file>

<file path=xl/sharedStrings.xml><?xml version="1.0" encoding="utf-8"?>
<sst xmlns="http://schemas.openxmlformats.org/spreadsheetml/2006/main" count="61" uniqueCount="56">
  <si>
    <t>Giá mua</t>
  </si>
  <si>
    <t>Giá bán</t>
  </si>
  <si>
    <t>Số lượng</t>
  </si>
  <si>
    <t>Tổng chi</t>
  </si>
  <si>
    <t>Thuế bán hàng</t>
  </si>
  <si>
    <t>Tiền trước thuế</t>
  </si>
  <si>
    <t>Tiền sau thuế</t>
  </si>
  <si>
    <t>Lợi nhuận</t>
  </si>
  <si>
    <t>Tên vật phẩm</t>
  </si>
  <si>
    <t>Item</t>
  </si>
  <si>
    <t>Lymhurst</t>
  </si>
  <si>
    <t>Fort Sterling</t>
  </si>
  <si>
    <t>Thetford</t>
  </si>
  <si>
    <t>Brecilien</t>
  </si>
  <si>
    <t>Tax</t>
  </si>
  <si>
    <t>0.105</t>
  </si>
  <si>
    <t>Khối lượng</t>
  </si>
  <si>
    <t>Tổng
 trọng lượng</t>
  </si>
  <si>
    <t>Tổng</t>
  </si>
  <si>
    <t>Tỷ lệ</t>
  </si>
  <si>
    <t>Beef Stew [8.0] (Normal)</t>
  </si>
  <si>
    <t xml:space="preserve">Cap FS </t>
  </si>
  <si>
    <t>Noi mua</t>
  </si>
  <si>
    <t>Lym</t>
  </si>
  <si>
    <t>Noi Ban</t>
  </si>
  <si>
    <t>Wood 6</t>
  </si>
  <si>
    <t>Plank 5</t>
  </si>
  <si>
    <t>BW</t>
  </si>
  <si>
    <t>ML</t>
  </si>
  <si>
    <t>% Lợi nhuận</t>
  </si>
  <si>
    <r>
      <t>Total Expenses</t>
    </r>
    <r>
      <rPr>
        <b/>
        <sz val="11"/>
        <color rgb="FFBD3434"/>
        <rFont val="Arial"/>
        <family val="2"/>
        <charset val="163"/>
      </rPr>
      <t>-4,391,618</t>
    </r>
  </si>
  <si>
    <r>
      <t>Total Income</t>
    </r>
    <r>
      <rPr>
        <b/>
        <sz val="11"/>
        <color rgb="FF2F9E36"/>
        <rFont val="Arial"/>
        <family val="2"/>
        <charset val="163"/>
      </rPr>
      <t>+5,197,967</t>
    </r>
  </si>
  <si>
    <r>
      <t>Profit</t>
    </r>
    <r>
      <rPr>
        <b/>
        <sz val="11"/>
        <color rgb="FF2F9E36"/>
        <rFont val="Arial"/>
        <family val="2"/>
        <charset val="163"/>
      </rPr>
      <t>806,349</t>
    </r>
  </si>
  <si>
    <r>
      <t>ROI (Profit / Expenses)</t>
    </r>
    <r>
      <rPr>
        <b/>
        <sz val="11"/>
        <color rgb="FF2F9E36"/>
        <rFont val="Arial"/>
        <family val="2"/>
        <charset val="163"/>
      </rPr>
      <t>18.36%</t>
    </r>
  </si>
  <si>
    <r>
      <t>Total Fame</t>
    </r>
    <r>
      <rPr>
        <b/>
        <sz val="11"/>
        <color rgb="FFE9E1DF"/>
        <rFont val="Arial"/>
        <family val="2"/>
        <charset val="163"/>
      </rPr>
      <t>432,000</t>
    </r>
  </si>
  <si>
    <r>
      <t>Input Weight</t>
    </r>
    <r>
      <rPr>
        <b/>
        <sz val="11"/>
        <color rgb="FFE9E1DF"/>
        <rFont val="Arial"/>
        <family val="2"/>
        <charset val="163"/>
      </rPr>
      <t>1,856 kg</t>
    </r>
  </si>
  <si>
    <r>
      <t>Output Weight</t>
    </r>
    <r>
      <rPr>
        <b/>
        <sz val="11"/>
        <color rgb="FFE9E1DF"/>
        <rFont val="Arial"/>
        <family val="2"/>
        <charset val="163"/>
      </rPr>
      <t>1,030 kg</t>
    </r>
  </si>
  <si>
    <t>Price</t>
  </si>
  <si>
    <t>Gỗ</t>
  </si>
  <si>
    <t>Quặng</t>
  </si>
  <si>
    <t>Bông</t>
  </si>
  <si>
    <t>Da</t>
  </si>
  <si>
    <t>Sách</t>
  </si>
  <si>
    <t>40K</t>
  </si>
  <si>
    <t>Check</t>
  </si>
  <si>
    <t>Total</t>
  </si>
  <si>
    <t>30C</t>
  </si>
  <si>
    <t>City</t>
  </si>
  <si>
    <t>FS</t>
  </si>
  <si>
    <t>Expert's Heavy Crossbow [5.1]</t>
  </si>
  <si>
    <t>Expert's Spear [5.1]</t>
  </si>
  <si>
    <t>Expert's Infernal Staff [5.1]</t>
  </si>
  <si>
    <t>TF</t>
  </si>
  <si>
    <t>Expert's Great Fire Staff [5.1]</t>
  </si>
  <si>
    <t>40P</t>
  </si>
  <si>
    <t>40K-30C-80P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</si>
</sst>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00"/>
  </numFmts>
  <fonts count="1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  <charset val="163"/>
    </font>
    <font>
      <sz val="9"/>
      <color rgb="FF000000"/>
      <name val="Arial"/>
      <family val="2"/>
      <charset val="163"/>
    </font>
    <font>
      <sz val="11"/>
      <color rgb="FF1F1F1F"/>
      <name val="Arial"/>
      <family val="2"/>
      <charset val="163"/>
    </font>
    <font>
      <b/>
      <sz val="11"/>
      <color rgb="FF1F1F1F"/>
      <name val="Arial"/>
      <family val="2"/>
      <charset val="163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  <charset val="163"/>
    </font>
    <font>
      <b/>
      <sz val="11"/>
      <color rgb="FF2F9E36"/>
      <name val="Arial"/>
      <family val="2"/>
      <charset val="163"/>
    </font>
    <font>
      <sz val="11"/>
      <color rgb="FFF1DFDA"/>
      <name val="Arial"/>
      <family val="2"/>
      <charset val="163"/>
    </font>
    <font>
      <b/>
      <sz val="11"/>
      <color rgb="FFBD3434"/>
      <name val="Arial"/>
      <family val="2"/>
      <charset val="163"/>
    </font>
    <font>
      <b/>
      <sz val="11"/>
      <color rgb="FFE9E1DF"/>
      <name val="Arial"/>
      <family val="2"/>
      <charset val="163"/>
    </font>
    <font>
      <b/>
      <sz val="11"/>
      <color rgb="FF006100"/>
      <name val="Calibri"/>
      <family val="2"/>
      <scheme val="minor"/>
    </font>
    <font>
      <b/>
      <sz val="11"/>
      <color rgb="FF006100"/>
      <name val="Calibri"/>
      <family val="2"/>
      <charset val="163"/>
      <scheme val="minor"/>
    </font>
    <font>
      <sz val="11"/>
      <color rgb="FF081B3A"/>
      <name val="Segoe UI"/>
      <family val="2"/>
      <charset val="163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/>
      </patternFill>
    </fill>
  </fills>
  <borders count="19">
    <border>
      <left/>
      <right/>
      <top/>
      <bottom/>
      <diagonal/>
    </border>
    <border>
      <left style="medium">
        <color rgb="FFEAEAEA"/>
      </left>
      <right/>
      <top style="medium">
        <color rgb="FFEAEAEA"/>
      </top>
      <bottom/>
      <diagonal/>
    </border>
    <border>
      <left style="medium">
        <color rgb="FFEAEAEA"/>
      </left>
      <right style="medium">
        <color rgb="FFEAEAEA"/>
      </right>
      <top style="medium">
        <color rgb="FFEAEAEA"/>
      </top>
      <bottom/>
      <diagonal/>
    </border>
    <border>
      <left style="medium">
        <color rgb="FFEAEAEA"/>
      </left>
      <right/>
      <top style="medium">
        <color rgb="FFEAEAEA"/>
      </top>
      <bottom style="medium">
        <color rgb="FFEAEAEA"/>
      </bottom>
      <diagonal/>
    </border>
    <border>
      <left style="medium">
        <color rgb="FFEAEAEA"/>
      </left>
      <right style="medium">
        <color rgb="FFEAEAEA"/>
      </right>
      <top style="medium">
        <color rgb="FFEAEAEA"/>
      </top>
      <bottom style="medium">
        <color rgb="FFEAEAEA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FFB866"/>
      </left>
      <right style="medium">
        <color rgb="FFFFB866"/>
      </right>
      <top style="medium">
        <color rgb="FFFFB866"/>
      </top>
      <bottom style="medium">
        <color rgb="FFFFB866"/>
      </bottom>
      <diagonal/>
    </border>
    <border>
      <left style="medium">
        <color rgb="FF504441"/>
      </left>
      <right style="medium">
        <color rgb="FF504441"/>
      </right>
      <top style="medium">
        <color rgb="FF504441"/>
      </top>
      <bottom style="medium">
        <color rgb="FF504441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 style="medium">
        <color rgb="FFEAEAEA"/>
      </left>
      <right style="medium">
        <color rgb="FFEAEAEA"/>
      </right>
      <top/>
      <bottom/>
      <diagonal/>
    </border>
  </borders>
  <cellStyleXfs count="5">
    <xf numFmtId="0" fontId="0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</cellStyleXfs>
  <cellXfs count="4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horizontal="left" vertical="center" wrapText="1" readingOrder="1"/>
    </xf>
    <xf numFmtId="16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4" fontId="1" fillId="0" borderId="0" xfId="1" applyNumberFormat="1" applyFont="1" applyAlignment="1">
      <alignment vertical="center"/>
    </xf>
    <xf numFmtId="9" fontId="1" fillId="0" borderId="0" xfId="2" applyFont="1" applyAlignment="1">
      <alignment vertical="center"/>
    </xf>
    <xf numFmtId="3" fontId="1" fillId="0" borderId="0" xfId="0" applyNumberFormat="1" applyFont="1" applyAlignment="1">
      <alignment vertical="center"/>
    </xf>
    <xf numFmtId="9" fontId="0" fillId="0" borderId="0" xfId="0" applyNumberFormat="1"/>
    <xf numFmtId="0" fontId="8" fillId="0" borderId="0" xfId="0" applyFont="1"/>
    <xf numFmtId="0" fontId="10" fillId="0" borderId="7" xfId="0" applyFont="1" applyBorder="1" applyAlignment="1">
      <alignment horizontal="right" vertical="center" wrapText="1" indent="1"/>
    </xf>
    <xf numFmtId="0" fontId="10" fillId="0" borderId="8" xfId="0" applyFont="1" applyBorder="1" applyAlignment="1">
      <alignment horizontal="right" vertical="center" wrapText="1" indent="1"/>
    </xf>
    <xf numFmtId="0" fontId="2" fillId="0" borderId="18" xfId="0" applyFont="1" applyBorder="1" applyAlignment="1">
      <alignment horizontal="center" vertical="center"/>
    </xf>
    <xf numFmtId="0" fontId="0" fillId="0" borderId="0" xfId="0" applyBorder="1"/>
    <xf numFmtId="0" fontId="7" fillId="3" borderId="11" xfId="4" applyBorder="1" applyAlignment="1">
      <alignment horizontal="center" vertical="center" wrapText="1" readingOrder="1"/>
    </xf>
    <xf numFmtId="0" fontId="7" fillId="3" borderId="12" xfId="4" applyBorder="1" applyAlignment="1">
      <alignment horizontal="center" vertical="center" wrapText="1" readingOrder="1"/>
    </xf>
    <xf numFmtId="0" fontId="7" fillId="3" borderId="13" xfId="4" applyBorder="1" applyAlignment="1">
      <alignment horizontal="center" vertical="center" wrapText="1" readingOrder="1"/>
    </xf>
    <xf numFmtId="3" fontId="14" fillId="2" borderId="6" xfId="3" applyNumberFormat="1" applyFont="1" applyBorder="1" applyAlignment="1">
      <alignment horizontal="center" vertical="center"/>
    </xf>
    <xf numFmtId="10" fontId="14" fillId="2" borderId="10" xfId="3" applyNumberFormat="1" applyFont="1" applyBorder="1" applyAlignment="1">
      <alignment horizontal="center" vertical="center"/>
    </xf>
    <xf numFmtId="0" fontId="14" fillId="2" borderId="9" xfId="3" applyFont="1" applyBorder="1" applyAlignment="1">
      <alignment horizontal="center" vertical="center"/>
    </xf>
    <xf numFmtId="0" fontId="14" fillId="2" borderId="14" xfId="3" applyFont="1" applyBorder="1" applyAlignment="1">
      <alignment horizontal="center" vertical="center"/>
    </xf>
    <xf numFmtId="0" fontId="14" fillId="2" borderId="9" xfId="3" applyFont="1" applyBorder="1" applyAlignment="1">
      <alignment horizontal="left" vertical="center"/>
    </xf>
    <xf numFmtId="0" fontId="14" fillId="2" borderId="14" xfId="3" applyFont="1" applyBorder="1" applyAlignment="1">
      <alignment horizontal="left" vertical="center"/>
    </xf>
    <xf numFmtId="3" fontId="7" fillId="3" borderId="12" xfId="4" applyNumberFormat="1" applyBorder="1" applyAlignment="1">
      <alignment horizontal="center" vertical="center" wrapText="1" readingOrder="1"/>
    </xf>
    <xf numFmtId="3" fontId="13" fillId="2" borderId="6" xfId="3" applyNumberFormat="1" applyFont="1" applyBorder="1" applyAlignment="1">
      <alignment horizontal="center" vertical="center"/>
    </xf>
    <xf numFmtId="3" fontId="13" fillId="2" borderId="12" xfId="3" applyNumberFormat="1" applyFont="1" applyBorder="1" applyAlignment="1">
      <alignment horizontal="center" vertical="center"/>
    </xf>
    <xf numFmtId="3" fontId="13" fillId="2" borderId="15" xfId="3" applyNumberFormat="1" applyFont="1" applyBorder="1" applyAlignment="1">
      <alignment horizontal="center" vertical="center"/>
    </xf>
    <xf numFmtId="0" fontId="13" fillId="2" borderId="17" xfId="3" applyFont="1" applyBorder="1" applyAlignment="1">
      <alignment horizontal="left" vertical="center"/>
    </xf>
    <xf numFmtId="10" fontId="13" fillId="2" borderId="16" xfId="3" applyNumberFormat="1" applyFont="1" applyBorder="1" applyAlignment="1">
      <alignment horizontal="center" vertical="center"/>
    </xf>
    <xf numFmtId="0" fontId="15" fillId="0" borderId="0" xfId="0" applyFont="1"/>
    <xf numFmtId="3" fontId="9" fillId="0" borderId="0" xfId="0" applyNumberFormat="1" applyFont="1"/>
    <xf numFmtId="10" fontId="9" fillId="0" borderId="0" xfId="0" applyNumberFormat="1" applyFont="1"/>
  </cellXfs>
  <cellStyles count="5">
    <cellStyle name="Accent6" xfId="4" builtinId="49"/>
    <cellStyle name="Comma" xfId="1" builtinId="3"/>
    <cellStyle name="Good" xfId="3" builtinId="26"/>
    <cellStyle name="Normal" xfId="0" builtinId="0"/>
    <cellStyle name="Percent" xfId="2" builtinId="5"/>
  </cellStyles>
  <dxfs count="34"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font>
        <b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rgb="FF7F7F7F"/>
        </top>
        <bottom style="thin">
          <color rgb="FF7F7F7F"/>
        </bottom>
      </border>
    </dxf>
    <dxf>
      <border outline="0">
        <top style="thin">
          <color rgb="FF7F7F7F"/>
        </top>
      </border>
    </dxf>
    <dxf>
      <border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font>
        <b/>
      </font>
    </dxf>
    <dxf>
      <border outline="0">
        <bottom style="thin">
          <color rgb="FF7F7F7F"/>
        </bottom>
      </border>
    </dxf>
    <dxf>
      <alignment horizontal="center" vertical="center" textRotation="0" wrapText="1" indent="0" justifyLastLine="0" shrinkToFit="0" readingOrder="1"/>
      <border diagonalUp="0" diagonalDown="0" outline="0">
        <left style="thin">
          <color rgb="FF7F7F7F"/>
        </left>
        <right style="thin">
          <color rgb="FF7F7F7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7" formatCode="0.00000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3" name="Table3" displayName="Table3" ref="A1:P15" totalsRowShown="0" headerRowDxfId="33" dataDxfId="32">
  <autoFilter ref="A1:P15"/>
  <tableColumns count="16">
    <tableColumn id="1" name="Tên vật phẩm" dataDxfId="31"/>
    <tableColumn id="2" name="Giá mua" dataDxfId="30"/>
    <tableColumn id="15" name="Noi mua" dataDxfId="29"/>
    <tableColumn id="3" name="Số lượng" dataDxfId="28"/>
    <tableColumn id="13" name="Khối lượng" dataDxfId="27"/>
    <tableColumn id="14" name="Tổng_x000a_ trọng lượng" dataDxfId="26">
      <calculatedColumnFormula>Table3[[#This Row],[Khối lượng]]*Table3[[#This Row],[Số lượng]]</calculatedColumnFormula>
    </tableColumn>
    <tableColumn id="4" name="Tổng chi" dataDxfId="25"/>
    <tableColumn id="5" name="Giá bán" dataDxfId="24"/>
    <tableColumn id="16" name="Noi Ban" dataDxfId="23"/>
    <tableColumn id="6" name="Tiền trước thuế" dataDxfId="22"/>
    <tableColumn id="7" name="Thuế bán hàng" dataDxfId="21"/>
    <tableColumn id="8" name="Tiền sau thuế" dataDxfId="20"/>
    <tableColumn id="9" name="Lợi nhuận" dataDxfId="19"/>
    <tableColumn id="10" name="Tỷ lệ" dataDxfId="18">
      <calculatedColumnFormula>(Table3[[#This Row],[Lợi nhuận]]/Table3[[#This Row],[Tổng chi]])</calculatedColumnFormula>
    </tableColumn>
    <tableColumn id="11" name="Tax" dataDxfId="17"/>
    <tableColumn id="12" name="0.105" dataDxfId="16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K11" totalsRowShown="0" headerRowDxfId="15" dataDxfId="13" headerRowBorderDxfId="14" tableBorderDxfId="12" totalsRowBorderDxfId="11" headerRowCellStyle="Accent6" dataCellStyle="Good">
  <autoFilter ref="A1:K11"/>
  <sortState ref="A2:D10">
    <sortCondition descending="1" ref="C1:C10"/>
  </sortState>
  <tableColumns count="11">
    <tableColumn id="1" name="Item" dataDxfId="10" dataCellStyle="Good"/>
    <tableColumn id="4" name="Price" dataDxfId="9" dataCellStyle="Good"/>
    <tableColumn id="2" name="Lợi nhuận" dataDxfId="8" dataCellStyle="Good"/>
    <tableColumn id="3" name="% Lợi nhuận" dataDxfId="7" dataCellStyle="Good"/>
    <tableColumn id="5" name="Gỗ" dataDxfId="6" dataCellStyle="Good"/>
    <tableColumn id="6" name="Quặng" dataDxfId="5" dataCellStyle="Good"/>
    <tableColumn id="7" name="Bông" dataDxfId="4" dataCellStyle="Good"/>
    <tableColumn id="8" name="Da" dataDxfId="3" dataCellStyle="Good"/>
    <tableColumn id="9" name="Sách" dataDxfId="2" dataCellStyle="Good"/>
    <tableColumn id="10" name="Check" dataDxfId="1" dataCellStyle="Good"/>
    <tableColumn id="11" name="City" dataDxfId="0" dataCellStyle="Good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"/>
  <sheetViews>
    <sheetView workbookViewId="0">
      <selection activeCell="I3" sqref="I3"/>
    </sheetView>
  </sheetViews>
  <sheetFormatPr defaultRowHeight="23.25" customHeight="1" x14ac:dyDescent="0.2"/>
  <cols>
    <col min="1" max="1" width="26.140625" style="1" bestFit="1" customWidth="1"/>
    <col min="2" max="3" width="11.5703125" style="1" customWidth="1"/>
    <col min="4" max="4" width="12.5703125" style="2" customWidth="1"/>
    <col min="5" max="5" width="18.42578125" style="2" bestFit="1" customWidth="1"/>
    <col min="6" max="6" width="18.42578125" style="2" customWidth="1"/>
    <col min="7" max="7" width="14.28515625" style="1" bestFit="1" customWidth="1"/>
    <col min="8" max="9" width="11" style="1" customWidth="1"/>
    <col min="10" max="10" width="18.28515625" style="1" customWidth="1"/>
    <col min="11" max="11" width="17.7109375" style="1" customWidth="1"/>
    <col min="12" max="12" width="16.28515625" style="1" customWidth="1"/>
    <col min="13" max="13" width="21.85546875" style="1" customWidth="1"/>
    <col min="14" max="14" width="11" style="1" bestFit="1" customWidth="1"/>
    <col min="15" max="15" width="16.140625" style="1" bestFit="1" customWidth="1"/>
    <col min="16" max="16" width="9.5703125" style="1" customWidth="1"/>
    <col min="17" max="16384" width="9.140625" style="1"/>
  </cols>
  <sheetData>
    <row r="1" spans="1:16" ht="30" x14ac:dyDescent="0.25">
      <c r="A1" s="1" t="s">
        <v>8</v>
      </c>
      <c r="B1" s="1" t="s">
        <v>0</v>
      </c>
      <c r="C1" s="1" t="s">
        <v>22</v>
      </c>
      <c r="D1" s="1" t="s">
        <v>2</v>
      </c>
      <c r="E1" s="1" t="s">
        <v>16</v>
      </c>
      <c r="F1" s="14" t="s">
        <v>17</v>
      </c>
      <c r="G1" s="1" t="s">
        <v>3</v>
      </c>
      <c r="H1" s="1" t="s">
        <v>1</v>
      </c>
      <c r="I1" s="1" t="s">
        <v>24</v>
      </c>
      <c r="J1" s="1" t="s">
        <v>5</v>
      </c>
      <c r="K1" s="1" t="s">
        <v>4</v>
      </c>
      <c r="L1" s="1" t="s">
        <v>6</v>
      </c>
      <c r="M1" s="1" t="s">
        <v>7</v>
      </c>
      <c r="N1" s="1" t="s">
        <v>19</v>
      </c>
      <c r="O1" s="1" t="s">
        <v>14</v>
      </c>
      <c r="P1" s="13" t="s">
        <v>15</v>
      </c>
    </row>
    <row r="2" spans="1:16" ht="23.25" customHeight="1" x14ac:dyDescent="0.25">
      <c r="A2" s="18" t="s">
        <v>21</v>
      </c>
      <c r="B2" s="18">
        <v>44497</v>
      </c>
      <c r="C2" s="18" t="s">
        <v>23</v>
      </c>
      <c r="D2" s="18">
        <v>50</v>
      </c>
      <c r="E2" s="19">
        <v>1.7</v>
      </c>
      <c r="F2" s="18">
        <f>Table3[[#This Row],[Khối lượng]]*Table3[[#This Row],[Số lượng]]</f>
        <v>85</v>
      </c>
      <c r="G2" s="18">
        <f>B2*D2</f>
        <v>2224850</v>
      </c>
      <c r="H2" s="18">
        <v>399</v>
      </c>
      <c r="I2" s="18"/>
      <c r="J2" s="18">
        <f>H2*D2</f>
        <v>19950</v>
      </c>
      <c r="K2" s="18">
        <f>J2*$P$1</f>
        <v>2094.75</v>
      </c>
      <c r="L2" s="18">
        <f>J2-K2</f>
        <v>17855.25</v>
      </c>
      <c r="M2" s="18">
        <f>L2-G2</f>
        <v>-2206994.75</v>
      </c>
      <c r="N2" s="20">
        <f>(Table3[[#This Row],[Lợi nhuận]]/Table3[[#This Row],[Tổng chi]])</f>
        <v>-0.99197462750297771</v>
      </c>
      <c r="O2" s="15"/>
      <c r="P2" s="15"/>
    </row>
    <row r="3" spans="1:16" ht="23.25" customHeight="1" x14ac:dyDescent="0.25">
      <c r="A3" s="15" t="s">
        <v>20</v>
      </c>
      <c r="B3" s="21">
        <v>5337</v>
      </c>
      <c r="C3" s="21"/>
      <c r="D3" s="18">
        <v>1000</v>
      </c>
      <c r="E3" s="15">
        <v>1</v>
      </c>
      <c r="F3" s="16">
        <f>Table3[[#This Row],[Khối lượng]]*Table3[[#This Row],[Số lượng]]</f>
        <v>1000</v>
      </c>
      <c r="G3" s="18">
        <f>B3*D3</f>
        <v>5337000</v>
      </c>
      <c r="H3" s="21">
        <v>6383</v>
      </c>
      <c r="I3" s="21"/>
      <c r="J3" s="18">
        <f>H3*D3</f>
        <v>6383000</v>
      </c>
      <c r="K3" s="18">
        <f>J3*$P$1</f>
        <v>670215</v>
      </c>
      <c r="L3" s="18">
        <f t="shared" ref="L3:L14" si="0">J3-K3</f>
        <v>5712785</v>
      </c>
      <c r="M3" s="18">
        <f t="shared" ref="M3:M14" si="1">L3-G3</f>
        <v>375785</v>
      </c>
      <c r="N3" s="20">
        <f>(Table3[[#This Row],[Lợi nhuận]]/Table3[[#This Row],[Tổng chi]])</f>
        <v>7.0411279745175193E-2</v>
      </c>
      <c r="O3" s="15"/>
      <c r="P3" s="15"/>
    </row>
    <row r="4" spans="1:16" ht="23.25" customHeight="1" x14ac:dyDescent="0.25">
      <c r="A4" s="15"/>
      <c r="B4" s="15"/>
      <c r="C4" s="15"/>
      <c r="D4" s="15"/>
      <c r="E4" s="15"/>
      <c r="F4" s="16">
        <f>Table3[[#This Row],[Khối lượng]]*Table3[[#This Row],[Số lượng]]</f>
        <v>0</v>
      </c>
      <c r="G4" s="18">
        <f t="shared" ref="G4:G14" si="2">B4*D4</f>
        <v>0</v>
      </c>
      <c r="H4" s="15"/>
      <c r="I4" s="15"/>
      <c r="J4" s="18">
        <f t="shared" ref="J4:J14" si="3">H4*D4</f>
        <v>0</v>
      </c>
      <c r="K4" s="18">
        <f t="shared" ref="K4:K14" si="4">J4*$P$1</f>
        <v>0</v>
      </c>
      <c r="L4" s="18">
        <f t="shared" si="0"/>
        <v>0</v>
      </c>
      <c r="M4" s="18">
        <f t="shared" si="1"/>
        <v>0</v>
      </c>
      <c r="N4" s="20" t="e">
        <f>(Table3[[#This Row],[Lợi nhuận]]/Table3[[#This Row],[Tổng chi]])</f>
        <v>#DIV/0!</v>
      </c>
      <c r="O4" s="15"/>
      <c r="P4" s="15"/>
    </row>
    <row r="5" spans="1:16" ht="23.25" customHeight="1" x14ac:dyDescent="0.25">
      <c r="A5" s="15"/>
      <c r="B5" s="15"/>
      <c r="C5" s="15"/>
      <c r="D5" s="15"/>
      <c r="E5" s="15"/>
      <c r="F5" s="16">
        <f>Table3[[#This Row],[Khối lượng]]*Table3[[#This Row],[Số lượng]]</f>
        <v>0</v>
      </c>
      <c r="G5" s="18">
        <f t="shared" si="2"/>
        <v>0</v>
      </c>
      <c r="H5" s="15"/>
      <c r="I5" s="15"/>
      <c r="J5" s="18">
        <f t="shared" si="3"/>
        <v>0</v>
      </c>
      <c r="K5" s="18">
        <f t="shared" si="4"/>
        <v>0</v>
      </c>
      <c r="L5" s="18">
        <f t="shared" si="0"/>
        <v>0</v>
      </c>
      <c r="M5" s="18">
        <f t="shared" si="1"/>
        <v>0</v>
      </c>
      <c r="N5" s="20" t="e">
        <f>(Table3[[#This Row],[Lợi nhuận]]/Table3[[#This Row],[Tổng chi]])</f>
        <v>#DIV/0!</v>
      </c>
      <c r="O5" s="15"/>
      <c r="P5" s="15"/>
    </row>
    <row r="6" spans="1:16" ht="23.25" customHeight="1" x14ac:dyDescent="0.25">
      <c r="A6" s="15"/>
      <c r="B6" s="15"/>
      <c r="C6" s="15"/>
      <c r="D6" s="15"/>
      <c r="E6" s="15"/>
      <c r="F6" s="16">
        <f>Table3[[#This Row],[Khối lượng]]*Table3[[#This Row],[Số lượng]]</f>
        <v>0</v>
      </c>
      <c r="G6" s="18">
        <f t="shared" si="2"/>
        <v>0</v>
      </c>
      <c r="H6" s="15"/>
      <c r="I6" s="15"/>
      <c r="J6" s="18">
        <f t="shared" si="3"/>
        <v>0</v>
      </c>
      <c r="K6" s="18">
        <f t="shared" si="4"/>
        <v>0</v>
      </c>
      <c r="L6" s="18">
        <f t="shared" si="0"/>
        <v>0</v>
      </c>
      <c r="M6" s="18">
        <f t="shared" si="1"/>
        <v>0</v>
      </c>
      <c r="N6" s="20" t="e">
        <f>(Table3[[#This Row],[Lợi nhuận]]/Table3[[#This Row],[Tổng chi]])</f>
        <v>#DIV/0!</v>
      </c>
      <c r="O6" s="15"/>
      <c r="P6" s="15"/>
    </row>
    <row r="7" spans="1:16" ht="23.25" customHeight="1" x14ac:dyDescent="0.25">
      <c r="A7" s="15"/>
      <c r="B7" s="15"/>
      <c r="C7" s="15"/>
      <c r="D7" s="15"/>
      <c r="E7" s="15"/>
      <c r="F7" s="16">
        <f>Table3[[#This Row],[Khối lượng]]*Table3[[#This Row],[Số lượng]]</f>
        <v>0</v>
      </c>
      <c r="G7" s="18">
        <f t="shared" si="2"/>
        <v>0</v>
      </c>
      <c r="H7" s="15"/>
      <c r="I7" s="15"/>
      <c r="J7" s="18">
        <f t="shared" si="3"/>
        <v>0</v>
      </c>
      <c r="K7" s="18">
        <f t="shared" si="4"/>
        <v>0</v>
      </c>
      <c r="L7" s="18">
        <f t="shared" si="0"/>
        <v>0</v>
      </c>
      <c r="M7" s="18">
        <f t="shared" si="1"/>
        <v>0</v>
      </c>
      <c r="N7" s="20" t="e">
        <f>(Table3[[#This Row],[Lợi nhuận]]/Table3[[#This Row],[Tổng chi]])</f>
        <v>#DIV/0!</v>
      </c>
      <c r="O7" s="15"/>
      <c r="P7" s="15"/>
    </row>
    <row r="8" spans="1:16" ht="23.25" customHeight="1" x14ac:dyDescent="0.25">
      <c r="A8" s="15"/>
      <c r="B8" s="15"/>
      <c r="C8" s="15"/>
      <c r="D8" s="15"/>
      <c r="E8" s="15"/>
      <c r="F8" s="16">
        <f>Table3[[#This Row],[Khối lượng]]*Table3[[#This Row],[Số lượng]]</f>
        <v>0</v>
      </c>
      <c r="G8" s="18">
        <f t="shared" si="2"/>
        <v>0</v>
      </c>
      <c r="H8" s="15"/>
      <c r="I8" s="15"/>
      <c r="J8" s="18">
        <f t="shared" si="3"/>
        <v>0</v>
      </c>
      <c r="K8" s="18">
        <f t="shared" si="4"/>
        <v>0</v>
      </c>
      <c r="L8" s="18">
        <f t="shared" si="0"/>
        <v>0</v>
      </c>
      <c r="M8" s="18">
        <f t="shared" si="1"/>
        <v>0</v>
      </c>
      <c r="N8" s="20" t="e">
        <f>(Table3[[#This Row],[Lợi nhuận]]/Table3[[#This Row],[Tổng chi]])</f>
        <v>#DIV/0!</v>
      </c>
      <c r="O8" s="15"/>
      <c r="P8" s="15"/>
    </row>
    <row r="9" spans="1:16" ht="23.25" customHeight="1" x14ac:dyDescent="0.25">
      <c r="A9" s="15"/>
      <c r="B9" s="15"/>
      <c r="C9" s="15"/>
      <c r="D9" s="15"/>
      <c r="E9" s="15"/>
      <c r="F9" s="16">
        <f>Table3[[#This Row],[Khối lượng]]*Table3[[#This Row],[Số lượng]]</f>
        <v>0</v>
      </c>
      <c r="G9" s="18">
        <f t="shared" si="2"/>
        <v>0</v>
      </c>
      <c r="H9" s="15"/>
      <c r="I9" s="15"/>
      <c r="J9" s="18">
        <f t="shared" si="3"/>
        <v>0</v>
      </c>
      <c r="K9" s="18">
        <f t="shared" si="4"/>
        <v>0</v>
      </c>
      <c r="L9" s="18">
        <f t="shared" si="0"/>
        <v>0</v>
      </c>
      <c r="M9" s="18">
        <f t="shared" si="1"/>
        <v>0</v>
      </c>
      <c r="N9" s="20" t="e">
        <f>(Table3[[#This Row],[Lợi nhuận]]/Table3[[#This Row],[Tổng chi]])</f>
        <v>#DIV/0!</v>
      </c>
      <c r="O9" s="15"/>
      <c r="P9" s="15"/>
    </row>
    <row r="10" spans="1:16" ht="23.25" customHeight="1" x14ac:dyDescent="0.25">
      <c r="A10" s="15"/>
      <c r="B10" s="15"/>
      <c r="C10" s="15"/>
      <c r="D10" s="15"/>
      <c r="E10" s="15"/>
      <c r="F10" s="16">
        <f>Table3[[#This Row],[Khối lượng]]*Table3[[#This Row],[Số lượng]]</f>
        <v>0</v>
      </c>
      <c r="G10" s="18">
        <f t="shared" si="2"/>
        <v>0</v>
      </c>
      <c r="H10" s="15"/>
      <c r="I10" s="15"/>
      <c r="J10" s="18">
        <f t="shared" si="3"/>
        <v>0</v>
      </c>
      <c r="K10" s="18">
        <f t="shared" si="4"/>
        <v>0</v>
      </c>
      <c r="L10" s="18">
        <f t="shared" si="0"/>
        <v>0</v>
      </c>
      <c r="M10" s="18">
        <f t="shared" si="1"/>
        <v>0</v>
      </c>
      <c r="N10" s="20" t="e">
        <f>(Table3[[#This Row],[Lợi nhuận]]/Table3[[#This Row],[Tổng chi]])</f>
        <v>#DIV/0!</v>
      </c>
      <c r="O10" s="15"/>
      <c r="P10" s="15"/>
    </row>
    <row r="11" spans="1:16" ht="23.25" customHeight="1" x14ac:dyDescent="0.25">
      <c r="A11" s="15"/>
      <c r="B11" s="15"/>
      <c r="C11" s="15"/>
      <c r="D11" s="15"/>
      <c r="E11" s="15"/>
      <c r="F11" s="16">
        <f>Table3[[#This Row],[Khối lượng]]*Table3[[#This Row],[Số lượng]]</f>
        <v>0</v>
      </c>
      <c r="G11" s="18">
        <f t="shared" si="2"/>
        <v>0</v>
      </c>
      <c r="H11" s="15"/>
      <c r="I11" s="15"/>
      <c r="J11" s="18">
        <f t="shared" si="3"/>
        <v>0</v>
      </c>
      <c r="K11" s="18">
        <f t="shared" si="4"/>
        <v>0</v>
      </c>
      <c r="L11" s="18">
        <f t="shared" si="0"/>
        <v>0</v>
      </c>
      <c r="M11" s="18">
        <f t="shared" si="1"/>
        <v>0</v>
      </c>
      <c r="N11" s="20" t="e">
        <f>(Table3[[#This Row],[Lợi nhuận]]/Table3[[#This Row],[Tổng chi]])</f>
        <v>#DIV/0!</v>
      </c>
      <c r="O11" s="15"/>
      <c r="P11" s="15"/>
    </row>
    <row r="12" spans="1:16" ht="23.25" customHeight="1" x14ac:dyDescent="0.25">
      <c r="A12" s="15"/>
      <c r="B12" s="15"/>
      <c r="C12" s="15"/>
      <c r="D12" s="15"/>
      <c r="E12" s="15"/>
      <c r="F12" s="16">
        <f>Table3[[#This Row],[Khối lượng]]*Table3[[#This Row],[Số lượng]]</f>
        <v>0</v>
      </c>
      <c r="G12" s="18">
        <f t="shared" si="2"/>
        <v>0</v>
      </c>
      <c r="H12" s="15"/>
      <c r="I12" s="15"/>
      <c r="J12" s="18">
        <f t="shared" si="3"/>
        <v>0</v>
      </c>
      <c r="K12" s="18">
        <f t="shared" si="4"/>
        <v>0</v>
      </c>
      <c r="L12" s="18">
        <f t="shared" si="0"/>
        <v>0</v>
      </c>
      <c r="M12" s="18">
        <f t="shared" si="1"/>
        <v>0</v>
      </c>
      <c r="N12" s="20" t="e">
        <f>(Table3[[#This Row],[Lợi nhuận]]/Table3[[#This Row],[Tổng chi]])</f>
        <v>#DIV/0!</v>
      </c>
      <c r="O12" s="15"/>
      <c r="P12" s="15"/>
    </row>
    <row r="13" spans="1:16" ht="23.25" customHeight="1" x14ac:dyDescent="0.25">
      <c r="A13" s="15"/>
      <c r="B13" s="15"/>
      <c r="C13" s="15"/>
      <c r="D13" s="15"/>
      <c r="E13" s="15"/>
      <c r="F13" s="16">
        <f>Table3[[#This Row],[Khối lượng]]*Table3[[#This Row],[Số lượng]]</f>
        <v>0</v>
      </c>
      <c r="G13" s="18">
        <f t="shared" si="2"/>
        <v>0</v>
      </c>
      <c r="H13" s="15"/>
      <c r="I13" s="15"/>
      <c r="J13" s="18">
        <f t="shared" si="3"/>
        <v>0</v>
      </c>
      <c r="K13" s="18">
        <f t="shared" si="4"/>
        <v>0</v>
      </c>
      <c r="L13" s="18">
        <f t="shared" si="0"/>
        <v>0</v>
      </c>
      <c r="M13" s="18">
        <f t="shared" si="1"/>
        <v>0</v>
      </c>
      <c r="N13" s="20" t="e">
        <f>(Table3[[#This Row],[Lợi nhuận]]/Table3[[#This Row],[Tổng chi]])</f>
        <v>#DIV/0!</v>
      </c>
      <c r="O13" s="15"/>
      <c r="P13" s="15"/>
    </row>
    <row r="14" spans="1:16" ht="23.25" customHeight="1" x14ac:dyDescent="0.25">
      <c r="A14" s="15"/>
      <c r="B14" s="15"/>
      <c r="C14" s="15"/>
      <c r="D14" s="15"/>
      <c r="E14" s="15"/>
      <c r="F14" s="16">
        <f>Table3[[#This Row],[Khối lượng]]*Table3[[#This Row],[Số lượng]]</f>
        <v>0</v>
      </c>
      <c r="G14" s="18">
        <f t="shared" si="2"/>
        <v>0</v>
      </c>
      <c r="H14" s="15"/>
      <c r="I14" s="15"/>
      <c r="J14" s="18">
        <f t="shared" si="3"/>
        <v>0</v>
      </c>
      <c r="K14" s="18">
        <f t="shared" si="4"/>
        <v>0</v>
      </c>
      <c r="L14" s="18">
        <f t="shared" si="0"/>
        <v>0</v>
      </c>
      <c r="M14" s="18">
        <f t="shared" si="1"/>
        <v>0</v>
      </c>
      <c r="N14" s="20" t="e">
        <f>(Table3[[#This Row],[Lợi nhuận]]/Table3[[#This Row],[Tổng chi]])</f>
        <v>#DIV/0!</v>
      </c>
      <c r="O14" s="15"/>
      <c r="P14" s="15"/>
    </row>
    <row r="15" spans="1:16" ht="23.25" customHeight="1" x14ac:dyDescent="0.25">
      <c r="A15" s="15" t="s">
        <v>18</v>
      </c>
      <c r="B15" s="15"/>
      <c r="C15" s="15"/>
      <c r="D15" s="16">
        <f>SUM(D2:D14)</f>
        <v>1050</v>
      </c>
      <c r="E15" s="17"/>
      <c r="F15" s="16">
        <f t="shared" ref="F15:M15" si="5">SUM(F2:F14)</f>
        <v>1085</v>
      </c>
      <c r="G15" s="16">
        <f t="shared" si="5"/>
        <v>7561850</v>
      </c>
      <c r="H15" s="16">
        <f t="shared" si="5"/>
        <v>6782</v>
      </c>
      <c r="I15" s="16"/>
      <c r="J15" s="16">
        <f t="shared" si="5"/>
        <v>6402950</v>
      </c>
      <c r="K15" s="16">
        <f t="shared" si="5"/>
        <v>672309.75</v>
      </c>
      <c r="L15" s="16">
        <f t="shared" si="5"/>
        <v>5730640.25</v>
      </c>
      <c r="M15" s="16">
        <f t="shared" si="5"/>
        <v>-1831209.75</v>
      </c>
      <c r="N15" s="20">
        <f>(Table3[[#This Row],[Lợi nhuận]]/Table3[[#This Row],[Tổng chi]])</f>
        <v>-0.24216425213406773</v>
      </c>
      <c r="O15" s="15"/>
      <c r="P15" s="1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workbookViewId="0">
      <selection sqref="A1:XFD1048576"/>
    </sheetView>
  </sheetViews>
  <sheetFormatPr defaultColWidth="15.7109375" defaultRowHeight="22.5" customHeight="1" x14ac:dyDescent="0.25"/>
  <cols>
    <col min="1" max="1" width="17.42578125" bestFit="1" customWidth="1"/>
  </cols>
  <sheetData>
    <row r="1" spans="1:14" ht="22.5" customHeight="1" thickBot="1" x14ac:dyDescent="0.3">
      <c r="A1" s="11" t="s">
        <v>9</v>
      </c>
      <c r="B1" s="11" t="s">
        <v>10</v>
      </c>
      <c r="C1" s="11" t="s">
        <v>11</v>
      </c>
      <c r="D1" s="11" t="s">
        <v>12</v>
      </c>
      <c r="E1" s="11" t="s">
        <v>28</v>
      </c>
      <c r="F1" s="11" t="s">
        <v>27</v>
      </c>
      <c r="G1" s="11" t="s">
        <v>13</v>
      </c>
      <c r="I1" s="4"/>
      <c r="K1" s="4"/>
      <c r="L1" s="4"/>
      <c r="M1" s="4"/>
      <c r="N1" s="4"/>
    </row>
    <row r="2" spans="1:14" ht="22.5" customHeight="1" thickBot="1" x14ac:dyDescent="0.3">
      <c r="A2" s="12" t="s">
        <v>25</v>
      </c>
      <c r="B2" s="10"/>
      <c r="C2" s="10">
        <v>822</v>
      </c>
      <c r="D2" s="10">
        <v>812</v>
      </c>
      <c r="E2" s="10"/>
      <c r="F2" s="10"/>
      <c r="G2" s="10">
        <v>698</v>
      </c>
      <c r="I2" s="4"/>
      <c r="K2" s="3"/>
      <c r="L2" s="3"/>
      <c r="M2" s="3"/>
      <c r="N2" s="4"/>
    </row>
    <row r="3" spans="1:14" ht="22.5" customHeight="1" thickBot="1" x14ac:dyDescent="0.3">
      <c r="A3" s="12" t="s">
        <v>26</v>
      </c>
      <c r="B3" s="10"/>
      <c r="C3" s="10">
        <v>757</v>
      </c>
      <c r="D3" s="10">
        <v>716</v>
      </c>
      <c r="E3" s="10"/>
      <c r="F3" s="10"/>
      <c r="G3" s="10">
        <v>722</v>
      </c>
      <c r="I3" s="8"/>
    </row>
    <row r="4" spans="1:14" ht="22.5" customHeight="1" thickBot="1" x14ac:dyDescent="0.3">
      <c r="A4" s="3"/>
      <c r="B4" s="3"/>
      <c r="C4" s="3"/>
      <c r="D4" s="4"/>
      <c r="F4" s="3"/>
      <c r="G4" s="3"/>
      <c r="H4" s="3"/>
      <c r="I4" s="4"/>
      <c r="J4" s="22"/>
    </row>
    <row r="5" spans="1:14" ht="22.5" customHeight="1" thickBot="1" x14ac:dyDescent="0.3">
      <c r="A5" s="3"/>
      <c r="B5" s="3"/>
      <c r="C5" s="3"/>
      <c r="D5" s="4"/>
      <c r="F5" s="3"/>
      <c r="G5" s="3"/>
      <c r="H5" s="3"/>
      <c r="I5" s="4"/>
    </row>
    <row r="6" spans="1:14" ht="22.5" customHeight="1" thickBot="1" x14ac:dyDescent="0.3">
      <c r="A6" s="3"/>
      <c r="B6" s="3"/>
      <c r="C6" s="3"/>
      <c r="D6" s="4"/>
      <c r="F6" s="3"/>
      <c r="G6" s="3"/>
      <c r="H6" s="3"/>
      <c r="I6" s="4"/>
    </row>
    <row r="7" spans="1:14" ht="22.5" customHeight="1" thickBot="1" x14ac:dyDescent="0.3">
      <c r="A7" s="3"/>
      <c r="B7" s="3"/>
      <c r="C7" s="3"/>
      <c r="D7" s="4"/>
      <c r="F7" s="3"/>
      <c r="G7" s="3"/>
      <c r="H7" s="3"/>
      <c r="I7" s="4"/>
    </row>
    <row r="8" spans="1:14" ht="22.5" customHeight="1" thickBot="1" x14ac:dyDescent="0.3">
      <c r="A8" s="5"/>
      <c r="B8" s="5"/>
      <c r="C8" s="5"/>
      <c r="D8" s="7"/>
      <c r="F8" s="5"/>
      <c r="G8" s="5"/>
      <c r="H8" s="5"/>
      <c r="I8" s="9"/>
    </row>
    <row r="16" spans="1:14" ht="22.5" customHeight="1" thickBot="1" x14ac:dyDescent="0.3"/>
    <row r="17" spans="6:14" ht="22.5" customHeight="1" thickBot="1" x14ac:dyDescent="0.3">
      <c r="F17" s="4"/>
      <c r="G17" s="4"/>
      <c r="H17" s="4"/>
      <c r="I17" s="4"/>
    </row>
    <row r="18" spans="6:14" ht="22.5" customHeight="1" thickBot="1" x14ac:dyDescent="0.3">
      <c r="F18" s="3"/>
      <c r="G18" s="3"/>
      <c r="H18" s="3"/>
      <c r="I18" s="4"/>
    </row>
    <row r="19" spans="6:14" ht="22.5" customHeight="1" thickBot="1" x14ac:dyDescent="0.3">
      <c r="K19" s="3"/>
      <c r="L19" s="3"/>
      <c r="M19" s="3"/>
      <c r="N19" s="4"/>
    </row>
    <row r="20" spans="6:14" ht="22.5" customHeight="1" thickBot="1" x14ac:dyDescent="0.3">
      <c r="K20" s="3"/>
      <c r="L20" s="3"/>
      <c r="M20" s="3"/>
      <c r="N20" s="4"/>
    </row>
    <row r="21" spans="6:14" ht="22.5" customHeight="1" thickBot="1" x14ac:dyDescent="0.3">
      <c r="K21" s="3"/>
      <c r="L21" s="3"/>
      <c r="M21" s="3"/>
      <c r="N21" s="4"/>
    </row>
    <row r="22" spans="6:14" ht="22.5" customHeight="1" thickBot="1" x14ac:dyDescent="0.3">
      <c r="K22" s="3"/>
      <c r="L22" s="3"/>
      <c r="M22" s="3"/>
      <c r="N22" s="4"/>
    </row>
    <row r="23" spans="6:14" ht="22.5" customHeight="1" thickBot="1" x14ac:dyDescent="0.3">
      <c r="K23" s="3"/>
      <c r="L23" s="3"/>
      <c r="M23" s="3"/>
      <c r="N23" s="4"/>
    </row>
    <row r="24" spans="6:14" ht="22.5" customHeight="1" thickBot="1" x14ac:dyDescent="0.3">
      <c r="K24" s="5"/>
      <c r="L24" s="5"/>
      <c r="M24" s="6"/>
      <c r="N24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4"/>
  <sheetViews>
    <sheetView tabSelected="1" workbookViewId="0">
      <selection activeCell="G5" sqref="G5"/>
    </sheetView>
  </sheetViews>
  <sheetFormatPr defaultColWidth="15.7109375" defaultRowHeight="22.5" customHeight="1" x14ac:dyDescent="0.25"/>
  <cols>
    <col min="1" max="1" width="33" customWidth="1"/>
    <col min="2" max="2" width="14.28515625" customWidth="1"/>
    <col min="3" max="3" width="14.42578125" bestFit="1" customWidth="1"/>
    <col min="10" max="10" width="19.28515625" customWidth="1"/>
  </cols>
  <sheetData>
    <row r="1" spans="1:16" ht="22.5" customHeight="1" thickBot="1" x14ac:dyDescent="0.3">
      <c r="A1" s="28" t="s">
        <v>9</v>
      </c>
      <c r="B1" s="28" t="s">
        <v>37</v>
      </c>
      <c r="C1" s="29" t="s">
        <v>7</v>
      </c>
      <c r="D1" s="30" t="s">
        <v>29</v>
      </c>
      <c r="E1" s="37" t="s">
        <v>38</v>
      </c>
      <c r="F1" s="37" t="s">
        <v>39</v>
      </c>
      <c r="G1" s="37" t="s">
        <v>40</v>
      </c>
      <c r="H1" s="37" t="s">
        <v>41</v>
      </c>
      <c r="I1" s="37" t="s">
        <v>42</v>
      </c>
      <c r="J1" s="37" t="s">
        <v>44</v>
      </c>
      <c r="K1" s="29" t="s">
        <v>47</v>
      </c>
      <c r="M1" s="4"/>
      <c r="N1" s="4"/>
      <c r="O1" s="4"/>
      <c r="P1" s="4"/>
    </row>
    <row r="2" spans="1:16" ht="22.5" customHeight="1" x14ac:dyDescent="0.3">
      <c r="A2" s="43" t="s">
        <v>49</v>
      </c>
      <c r="B2" s="33">
        <v>88237</v>
      </c>
      <c r="C2" s="44">
        <v>2692231</v>
      </c>
      <c r="D2" s="45">
        <v>1.5584</v>
      </c>
      <c r="E2" s="31">
        <v>757</v>
      </c>
      <c r="F2" s="31">
        <v>455</v>
      </c>
      <c r="G2" s="31"/>
      <c r="H2" s="31"/>
      <c r="I2" s="31" t="s">
        <v>43</v>
      </c>
      <c r="J2" s="39"/>
      <c r="K2" s="39" t="s">
        <v>28</v>
      </c>
      <c r="M2" s="3"/>
      <c r="N2" s="3"/>
      <c r="O2" s="3"/>
      <c r="P2" s="4"/>
    </row>
    <row r="3" spans="1:16" ht="22.5" customHeight="1" x14ac:dyDescent="0.25">
      <c r="A3" s="35" t="s">
        <v>50</v>
      </c>
      <c r="B3" s="33">
        <v>56217</v>
      </c>
      <c r="C3" s="44">
        <v>944989</v>
      </c>
      <c r="D3" s="45">
        <v>0.50349999999999995</v>
      </c>
      <c r="E3" s="31">
        <v>606</v>
      </c>
      <c r="F3" s="31">
        <v>303</v>
      </c>
      <c r="G3" s="31"/>
      <c r="H3" s="31"/>
      <c r="I3" s="31" t="s">
        <v>46</v>
      </c>
      <c r="J3" s="39"/>
      <c r="K3" s="38" t="s">
        <v>48</v>
      </c>
    </row>
    <row r="4" spans="1:16" ht="22.5" customHeight="1" x14ac:dyDescent="0.25">
      <c r="A4" s="35" t="s">
        <v>51</v>
      </c>
      <c r="B4" s="33">
        <v>65337</v>
      </c>
      <c r="C4" s="44">
        <v>936227</v>
      </c>
      <c r="D4" s="45">
        <v>0.34350000000000003</v>
      </c>
      <c r="E4" s="31">
        <v>757</v>
      </c>
      <c r="F4" s="31">
        <v>455</v>
      </c>
      <c r="G4" s="31"/>
      <c r="H4" s="31"/>
      <c r="I4" s="31" t="s">
        <v>54</v>
      </c>
      <c r="J4" s="39"/>
      <c r="K4" s="39" t="s">
        <v>52</v>
      </c>
      <c r="L4" s="22"/>
    </row>
    <row r="5" spans="1:16" ht="22.5" customHeight="1" x14ac:dyDescent="0.25">
      <c r="A5" s="35" t="s">
        <v>53</v>
      </c>
      <c r="B5" s="33">
        <v>60696</v>
      </c>
      <c r="C5" s="44">
        <v>719261</v>
      </c>
      <c r="D5" s="45">
        <v>0.26540000000000002</v>
      </c>
      <c r="E5" s="31">
        <v>757</v>
      </c>
      <c r="F5" s="31">
        <v>455</v>
      </c>
      <c r="G5" s="31"/>
      <c r="H5" s="31"/>
      <c r="I5" s="31" t="s">
        <v>54</v>
      </c>
      <c r="J5" s="39"/>
      <c r="K5" s="38" t="s">
        <v>52</v>
      </c>
      <c r="L5" s="27"/>
    </row>
    <row r="6" spans="1:16" ht="22.5" customHeight="1" x14ac:dyDescent="0.25">
      <c r="A6" s="35"/>
      <c r="B6" s="33"/>
      <c r="C6" s="31"/>
      <c r="D6" s="32"/>
      <c r="E6" s="31"/>
      <c r="F6" s="31"/>
      <c r="G6" s="31"/>
      <c r="H6" s="31"/>
      <c r="I6" s="31"/>
      <c r="J6" s="38"/>
      <c r="K6" s="38"/>
      <c r="L6" s="27"/>
    </row>
    <row r="7" spans="1:16" ht="22.5" customHeight="1" x14ac:dyDescent="0.25">
      <c r="A7" s="35"/>
      <c r="B7" s="33"/>
      <c r="C7" s="31"/>
      <c r="D7" s="32"/>
      <c r="E7" s="31"/>
      <c r="F7" s="31"/>
      <c r="G7" s="31"/>
      <c r="H7" s="31"/>
      <c r="I7" s="31"/>
      <c r="J7" s="38"/>
      <c r="K7" s="38"/>
      <c r="L7" s="27"/>
    </row>
    <row r="8" spans="1:16" ht="22.5" customHeight="1" x14ac:dyDescent="0.25">
      <c r="A8" s="35"/>
      <c r="B8" s="33"/>
      <c r="C8" s="31"/>
      <c r="D8" s="32"/>
      <c r="E8" s="31"/>
      <c r="F8" s="31"/>
      <c r="G8" s="31"/>
      <c r="H8" s="31"/>
      <c r="I8" s="31"/>
      <c r="J8" s="38"/>
      <c r="K8" s="38"/>
      <c r="L8" s="27"/>
    </row>
    <row r="9" spans="1:16" ht="22.5" customHeight="1" x14ac:dyDescent="0.25">
      <c r="A9" s="35"/>
      <c r="B9" s="33"/>
      <c r="C9" s="31"/>
      <c r="D9" s="32"/>
      <c r="E9" s="31"/>
      <c r="F9" s="31"/>
      <c r="G9" s="31"/>
      <c r="H9" s="31"/>
      <c r="I9" s="31"/>
      <c r="J9" s="38"/>
      <c r="K9" s="38"/>
      <c r="L9" s="27"/>
    </row>
    <row r="10" spans="1:16" ht="22.5" customHeight="1" x14ac:dyDescent="0.25">
      <c r="A10" s="36"/>
      <c r="B10" s="34"/>
      <c r="C10" s="31"/>
      <c r="D10" s="32"/>
      <c r="E10" s="31"/>
      <c r="F10" s="31"/>
      <c r="G10" s="31"/>
      <c r="H10" s="31"/>
      <c r="I10" s="31"/>
      <c r="J10" s="40"/>
      <c r="K10" s="38"/>
      <c r="L10" s="27"/>
    </row>
    <row r="11" spans="1:16" ht="22.5" customHeight="1" x14ac:dyDescent="0.25">
      <c r="A11" s="41" t="s">
        <v>45</v>
      </c>
      <c r="B11" s="34"/>
      <c r="C11" s="40"/>
      <c r="D11" s="42"/>
      <c r="E11" s="40">
        <f>SUM(E2:E10)</f>
        <v>2877</v>
      </c>
      <c r="F11" s="40">
        <f t="shared" ref="F11:H11" si="0">SUM(F2:F10)</f>
        <v>1668</v>
      </c>
      <c r="G11" s="40">
        <f t="shared" si="0"/>
        <v>0</v>
      </c>
      <c r="H11" s="40">
        <f t="shared" si="0"/>
        <v>0</v>
      </c>
      <c r="I11" s="40" t="s">
        <v>55</v>
      </c>
      <c r="J11" s="40"/>
      <c r="K11" s="40"/>
      <c r="L11" s="27"/>
    </row>
    <row r="12" spans="1:16" ht="22.5" customHeight="1" x14ac:dyDescent="0.25">
      <c r="A12" s="23"/>
      <c r="B12" s="23"/>
      <c r="I12" s="27"/>
      <c r="J12" s="27"/>
      <c r="K12" s="27"/>
      <c r="L12" s="27"/>
    </row>
    <row r="13" spans="1:16" ht="22.5" customHeight="1" x14ac:dyDescent="0.25">
      <c r="A13" s="23"/>
      <c r="B13" s="23"/>
      <c r="I13" s="27"/>
      <c r="J13" s="27"/>
      <c r="K13" s="27"/>
      <c r="L13" s="27"/>
    </row>
    <row r="14" spans="1:16" ht="22.5" customHeight="1" x14ac:dyDescent="0.25">
      <c r="A14" s="23"/>
      <c r="B14" s="23"/>
      <c r="I14" s="27"/>
      <c r="J14" s="27"/>
      <c r="K14" s="27"/>
      <c r="L14" s="27"/>
    </row>
    <row r="15" spans="1:16" ht="22.5" customHeight="1" x14ac:dyDescent="0.25">
      <c r="A15" s="23"/>
      <c r="B15" s="23"/>
      <c r="I15" s="27"/>
      <c r="J15" s="27"/>
      <c r="K15" s="27"/>
      <c r="L15" s="27"/>
    </row>
    <row r="16" spans="1:16" ht="22.5" customHeight="1" thickBot="1" x14ac:dyDescent="0.3">
      <c r="A16" s="23"/>
      <c r="B16" s="23"/>
      <c r="I16" s="27"/>
      <c r="J16" s="27"/>
      <c r="K16" s="27"/>
      <c r="L16" s="27"/>
    </row>
    <row r="17" spans="1:16" ht="22.5" customHeight="1" thickBot="1" x14ac:dyDescent="0.3">
      <c r="A17" s="23"/>
      <c r="B17" s="23"/>
      <c r="H17" s="4"/>
      <c r="I17" s="26"/>
      <c r="J17" s="26"/>
      <c r="K17" s="26"/>
    </row>
    <row r="18" spans="1:16" ht="22.5" customHeight="1" thickBot="1" x14ac:dyDescent="0.3">
      <c r="H18" s="3"/>
      <c r="I18" s="3"/>
      <c r="J18" s="3"/>
      <c r="K18" s="4"/>
    </row>
    <row r="19" spans="1:16" ht="22.5" customHeight="1" thickBot="1" x14ac:dyDescent="0.3">
      <c r="M19" s="3"/>
      <c r="N19" s="3"/>
      <c r="O19" s="3"/>
      <c r="P19" s="4"/>
    </row>
    <row r="20" spans="1:16" ht="22.5" customHeight="1" thickBot="1" x14ac:dyDescent="0.3">
      <c r="M20" s="3"/>
      <c r="N20" s="3"/>
      <c r="O20" s="3"/>
      <c r="P20" s="4"/>
    </row>
    <row r="21" spans="1:16" ht="22.5" customHeight="1" thickBot="1" x14ac:dyDescent="0.3">
      <c r="M21" s="3"/>
      <c r="N21" s="3"/>
      <c r="O21" s="3"/>
      <c r="P21" s="4"/>
    </row>
    <row r="22" spans="1:16" ht="22.5" customHeight="1" thickBot="1" x14ac:dyDescent="0.3">
      <c r="M22" s="3"/>
      <c r="N22" s="3"/>
      <c r="O22" s="3"/>
      <c r="P22" s="4"/>
    </row>
    <row r="23" spans="1:16" ht="22.5" customHeight="1" thickBot="1" x14ac:dyDescent="0.3">
      <c r="M23" s="3"/>
      <c r="N23" s="3"/>
      <c r="O23" s="3"/>
      <c r="P23" s="4"/>
    </row>
    <row r="24" spans="1:16" ht="22.5" customHeight="1" thickBot="1" x14ac:dyDescent="0.3">
      <c r="M24" s="5"/>
      <c r="N24" s="5"/>
      <c r="O24" s="6"/>
      <c r="P24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Q2:Q9"/>
  <sheetViews>
    <sheetView workbookViewId="0">
      <selection activeCell="Q3" sqref="Q3:Q9"/>
    </sheetView>
  </sheetViews>
  <sheetFormatPr defaultRowHeight="15" x14ac:dyDescent="0.25"/>
  <cols>
    <col min="17" max="17" width="63.85546875" customWidth="1"/>
  </cols>
  <sheetData>
    <row r="2" spans="17:17" ht="15.75" thickBot="1" x14ac:dyDescent="0.3"/>
    <row r="3" spans="17:17" ht="15.75" thickBot="1" x14ac:dyDescent="0.3">
      <c r="Q3" s="25" t="s">
        <v>30</v>
      </c>
    </row>
    <row r="4" spans="17:17" ht="15.75" thickBot="1" x14ac:dyDescent="0.3">
      <c r="Q4" s="25" t="s">
        <v>31</v>
      </c>
    </row>
    <row r="5" spans="17:17" ht="15.75" thickBot="1" x14ac:dyDescent="0.3">
      <c r="Q5" s="24" t="s">
        <v>32</v>
      </c>
    </row>
    <row r="6" spans="17:17" ht="15.75" thickBot="1" x14ac:dyDescent="0.3">
      <c r="Q6" s="24" t="s">
        <v>33</v>
      </c>
    </row>
    <row r="7" spans="17:17" ht="15.75" thickBot="1" x14ac:dyDescent="0.3">
      <c r="Q7" s="25" t="s">
        <v>34</v>
      </c>
    </row>
    <row r="8" spans="17:17" ht="15.75" thickBot="1" x14ac:dyDescent="0.3">
      <c r="Q8" s="25" t="s">
        <v>35</v>
      </c>
    </row>
    <row r="9" spans="17:17" ht="15.75" thickBot="1" x14ac:dyDescent="0.3">
      <c r="Q9" s="25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Check Price</vt:lpstr>
      <vt:lpstr>Check craft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B121803</dc:creator>
  <cp:lastModifiedBy>B121803</cp:lastModifiedBy>
  <dcterms:created xsi:type="dcterms:W3CDTF">2026-01-07T01:29:04Z</dcterms:created>
  <dcterms:modified xsi:type="dcterms:W3CDTF">2026-08-18T01:30:04Z</dcterms:modified>
</cp:coreProperties>
</file>