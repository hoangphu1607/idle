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haser\idle\"/>
    </mc:Choice>
  </mc:AlternateContent>
  <bookViews>
    <workbookView xWindow="0" yWindow="0" windowWidth="28800" windowHeight="12180" activeTab="2"/>
  </bookViews>
  <sheets>
    <sheet name="Check Price" sheetId="2" r:id="rId1"/>
    <sheet name="Check craft" sheetId="3" r:id="rId2"/>
    <sheet name="Refine1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4" l="1"/>
  <c r="N5" i="4"/>
  <c r="N6" i="4"/>
  <c r="N3" i="4"/>
  <c r="M4" i="4"/>
  <c r="M5" i="4"/>
  <c r="L4" i="4"/>
  <c r="L5" i="4"/>
  <c r="K4" i="4"/>
  <c r="K5" i="4"/>
  <c r="K6" i="4"/>
  <c r="J4" i="4"/>
  <c r="J5" i="4"/>
  <c r="J6" i="4"/>
  <c r="M6" i="4" s="1"/>
  <c r="K3" i="4"/>
  <c r="J3" i="4"/>
  <c r="M3" i="4" s="1"/>
  <c r="L6" i="4" l="1"/>
  <c r="L3" i="4"/>
  <c r="F11" i="3"/>
  <c r="G11" i="3"/>
  <c r="H11" i="3"/>
  <c r="E11" i="3"/>
</calcChain>
</file>

<file path=xl/sharedStrings.xml><?xml version="1.0" encoding="utf-8"?>
<sst xmlns="http://schemas.openxmlformats.org/spreadsheetml/2006/main" count="63" uniqueCount="52">
  <si>
    <t>Số lượng</t>
  </si>
  <si>
    <t>Tổng chi</t>
  </si>
  <si>
    <t>Lợi nhuận</t>
  </si>
  <si>
    <t>Item</t>
  </si>
  <si>
    <t>Lymhurst</t>
  </si>
  <si>
    <t>Fort Sterling</t>
  </si>
  <si>
    <t>Thetford</t>
  </si>
  <si>
    <t>Brecilien</t>
  </si>
  <si>
    <t>Wood 6</t>
  </si>
  <si>
    <t>Plank 5</t>
  </si>
  <si>
    <t>BW</t>
  </si>
  <si>
    <t>ML</t>
  </si>
  <si>
    <t>% Lợi nhuận</t>
  </si>
  <si>
    <t>Price</t>
  </si>
  <si>
    <t>Gỗ</t>
  </si>
  <si>
    <t>Quặng</t>
  </si>
  <si>
    <t>Bông</t>
  </si>
  <si>
    <t>Da</t>
  </si>
  <si>
    <t>Sách</t>
  </si>
  <si>
    <t>40K</t>
  </si>
  <si>
    <t>Check</t>
  </si>
  <si>
    <t>Total</t>
  </si>
  <si>
    <t>30C</t>
  </si>
  <si>
    <t>City</t>
  </si>
  <si>
    <t>FS</t>
  </si>
  <si>
    <t>Expert's Heavy Crossbow [5.1]</t>
  </si>
  <si>
    <t>Expert's Spear [5.1]</t>
  </si>
  <si>
    <t>Expert's Infernal Staff [5.1]</t>
  </si>
  <si>
    <t>TF</t>
  </si>
  <si>
    <t>Expert's Great Fire Staff [5.1]</t>
  </si>
  <si>
    <t>40P</t>
  </si>
  <si>
    <t>40K-30C-80P</t>
  </si>
  <si>
    <t>Nguyên liệu 1</t>
  </si>
  <si>
    <t>Nguyên liệu 2</t>
  </si>
  <si>
    <t>Skyflower</t>
  </si>
  <si>
    <t>Ornate Cloth 5.1</t>
  </si>
  <si>
    <t>Thành phẩm</t>
  </si>
  <si>
    <t>Tên</t>
  </si>
  <si>
    <t>Giá</t>
  </si>
  <si>
    <t>Fine Cloth</t>
  </si>
  <si>
    <t>Tổng thu</t>
  </si>
  <si>
    <t>Giá khi craft</t>
  </si>
  <si>
    <t>Biên độ 
Craft &amp; Buy</t>
  </si>
  <si>
    <t>Uncommon Cured Leather [5.1]</t>
  </si>
  <si>
    <t>Uncommon Worked Leather [4.1]</t>
  </si>
  <si>
    <t>Uncommon Heavy Hide [5.1]</t>
  </si>
  <si>
    <t>Uncommon Titanium Steel Bar [5.1]</t>
  </si>
  <si>
    <t>Uncommon Cedar Planks [5.1]</t>
  </si>
  <si>
    <t>Uncommon Cedar Logs [5.1]</t>
  </si>
  <si>
    <t>Uncommon Pine Planks [4.1]</t>
  </si>
  <si>
    <t>Uncommon Titanium Ore [5.1]</t>
  </si>
  <si>
    <t>Uncommon Steel Bar [4.1]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</si>
</sst>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  <charset val="163"/>
    </font>
    <font>
      <sz val="11"/>
      <color rgb="FF1F1F1F"/>
      <name val="Arial"/>
      <family val="2"/>
      <charset val="163"/>
    </font>
    <font>
      <b/>
      <sz val="11"/>
      <color rgb="FF1F1F1F"/>
      <name val="Arial"/>
      <family val="2"/>
      <charset val="163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  <charset val="163"/>
    </font>
    <font>
      <b/>
      <sz val="11"/>
      <color rgb="FF2F9E36"/>
      <name val="Arial"/>
      <family val="2"/>
      <charset val="163"/>
    </font>
    <font>
      <b/>
      <sz val="11"/>
      <color rgb="FF006100"/>
      <name val="Calibri"/>
      <family val="2"/>
      <scheme val="minor"/>
    </font>
    <font>
      <b/>
      <sz val="11"/>
      <color rgb="FF006100"/>
      <name val="Calibri"/>
      <family val="2"/>
      <charset val="163"/>
      <scheme val="minor"/>
    </font>
    <font>
      <sz val="11"/>
      <color rgb="FF081B3A"/>
      <name val="Segoe UI"/>
      <family val="2"/>
      <charset val="163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EAEAEA"/>
      </left>
      <right/>
      <top style="medium">
        <color rgb="FFEAEAEA"/>
      </top>
      <bottom/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/>
      <diagonal/>
    </border>
    <border>
      <left style="medium">
        <color rgb="FFEAEAEA"/>
      </left>
      <right/>
      <top style="medium">
        <color rgb="FFEAEAEA"/>
      </top>
      <bottom style="medium">
        <color rgb="FFEAEAEA"/>
      </bottom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 style="medium">
        <color rgb="FFEAEAEA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medium">
        <color rgb="FFEAEAEA"/>
      </left>
      <right style="medium">
        <color rgb="FFEAEAEA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left" vertical="center" wrapText="1" readingOrder="1"/>
    </xf>
    <xf numFmtId="9" fontId="0" fillId="0" borderId="0" xfId="0" applyNumberFormat="1"/>
    <xf numFmtId="0" fontId="7" fillId="0" borderId="0" xfId="0" applyFont="1"/>
    <xf numFmtId="0" fontId="1" fillId="0" borderId="16" xfId="0" applyFont="1" applyBorder="1" applyAlignment="1">
      <alignment horizontal="center" vertical="center"/>
    </xf>
    <xf numFmtId="0" fontId="0" fillId="0" borderId="0" xfId="0" applyBorder="1"/>
    <xf numFmtId="0" fontId="6" fillId="3" borderId="9" xfId="3" applyBorder="1" applyAlignment="1">
      <alignment horizontal="center" vertical="center" wrapText="1" readingOrder="1"/>
    </xf>
    <xf numFmtId="0" fontId="6" fillId="3" borderId="10" xfId="3" applyBorder="1" applyAlignment="1">
      <alignment horizontal="center" vertical="center" wrapText="1" readingOrder="1"/>
    </xf>
    <xf numFmtId="0" fontId="6" fillId="3" borderId="11" xfId="3" applyBorder="1" applyAlignment="1">
      <alignment horizontal="center" vertical="center" wrapText="1" readingOrder="1"/>
    </xf>
    <xf numFmtId="3" fontId="10" fillId="2" borderId="6" xfId="2" applyNumberFormat="1" applyFont="1" applyBorder="1" applyAlignment="1">
      <alignment horizontal="center" vertical="center"/>
    </xf>
    <xf numFmtId="10" fontId="10" fillId="2" borderId="8" xfId="2" applyNumberFormat="1" applyFont="1" applyBorder="1" applyAlignment="1">
      <alignment horizontal="center" vertical="center"/>
    </xf>
    <xf numFmtId="0" fontId="10" fillId="2" borderId="7" xfId="2" applyFont="1" applyBorder="1" applyAlignment="1">
      <alignment horizontal="center" vertical="center"/>
    </xf>
    <xf numFmtId="0" fontId="10" fillId="2" borderId="12" xfId="2" applyFont="1" applyBorder="1" applyAlignment="1">
      <alignment horizontal="center" vertical="center"/>
    </xf>
    <xf numFmtId="0" fontId="10" fillId="2" borderId="7" xfId="2" applyFont="1" applyBorder="1" applyAlignment="1">
      <alignment horizontal="left" vertical="center"/>
    </xf>
    <xf numFmtId="0" fontId="10" fillId="2" borderId="12" xfId="2" applyFont="1" applyBorder="1" applyAlignment="1">
      <alignment horizontal="left" vertical="center"/>
    </xf>
    <xf numFmtId="3" fontId="6" fillId="3" borderId="10" xfId="3" applyNumberFormat="1" applyBorder="1" applyAlignment="1">
      <alignment horizontal="center" vertical="center" wrapText="1" readingOrder="1"/>
    </xf>
    <xf numFmtId="3" fontId="9" fillId="2" borderId="6" xfId="2" applyNumberFormat="1" applyFont="1" applyBorder="1" applyAlignment="1">
      <alignment horizontal="center" vertical="center"/>
    </xf>
    <xf numFmtId="3" fontId="9" fillId="2" borderId="10" xfId="2" applyNumberFormat="1" applyFont="1" applyBorder="1" applyAlignment="1">
      <alignment horizontal="center" vertical="center"/>
    </xf>
    <xf numFmtId="3" fontId="9" fillId="2" borderId="13" xfId="2" applyNumberFormat="1" applyFont="1" applyBorder="1" applyAlignment="1">
      <alignment horizontal="center" vertical="center"/>
    </xf>
    <xf numFmtId="0" fontId="9" fillId="2" borderId="15" xfId="2" applyFont="1" applyBorder="1" applyAlignment="1">
      <alignment horizontal="left" vertical="center"/>
    </xf>
    <xf numFmtId="10" fontId="9" fillId="2" borderId="14" xfId="2" applyNumberFormat="1" applyFont="1" applyBorder="1" applyAlignment="1">
      <alignment horizontal="center" vertical="center"/>
    </xf>
    <xf numFmtId="0" fontId="11" fillId="0" borderId="0" xfId="0" applyFont="1"/>
    <xf numFmtId="3" fontId="8" fillId="0" borderId="0" xfId="0" applyNumberFormat="1" applyFont="1"/>
    <xf numFmtId="10" fontId="8" fillId="0" borderId="0" xfId="0" applyNumberFormat="1" applyFont="1"/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65" fontId="0" fillId="0" borderId="17" xfId="1" applyNumberFormat="1" applyFont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/>
    </xf>
    <xf numFmtId="165" fontId="0" fillId="5" borderId="17" xfId="1" applyNumberFormat="1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</cellXfs>
  <cellStyles count="4">
    <cellStyle name="Accent6" xfId="3" builtinId="49"/>
    <cellStyle name="Comma" xfId="1" builtinId="3"/>
    <cellStyle name="Good" xfId="2" builtinId="26"/>
    <cellStyle name="Normal" xfId="0" builtinId="0"/>
  </cellStyles>
  <dxfs count="16">
    <dxf>
      <font>
        <b/>
        <color rgb="FF006100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font>
        <b/>
        <color rgb="FF006100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font>
        <b/>
        <color rgb="FF006100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font>
        <b/>
        <color rgb="FF006100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font>
        <b/>
        <color rgb="FF006100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font>
        <b/>
        <color rgb="FF006100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font>
        <b/>
        <color rgb="FF006100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font>
        <b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/>
        <top style="thin">
          <color rgb="FF7F7F7F"/>
        </top>
        <bottom style="thin">
          <color rgb="FF7F7F7F"/>
        </bottom>
      </border>
    </dxf>
    <dxf>
      <font>
        <b/>
        <color rgb="FF006100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rgb="FF7F7F7F"/>
        </top>
        <bottom style="thin">
          <color rgb="FF7F7F7F"/>
        </bottom>
      </border>
    </dxf>
    <dxf>
      <border outline="0">
        <top style="thin">
          <color rgb="FF7F7F7F"/>
        </top>
      </border>
    </dxf>
    <dxf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</dxf>
    <dxf>
      <border outline="0">
        <bottom style="thin">
          <color rgb="FF7F7F7F"/>
        </bottom>
      </border>
    </dxf>
    <dxf>
      <alignment horizontal="center" vertical="center" textRotation="0" wrapText="1" indent="0" justifyLastLine="0" shrinkToFit="0" readingOrder="1"/>
      <border diagonalUp="0" diagonalDown="0" outline="0">
        <left style="thin">
          <color rgb="FF7F7F7F"/>
        </left>
        <right style="thin">
          <color rgb="FF7F7F7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K11" totalsRowShown="0" headerRowDxfId="15" dataDxfId="13" headerRowBorderDxfId="14" tableBorderDxfId="12" totalsRowBorderDxfId="11" headerRowCellStyle="Accent6" dataCellStyle="Good">
  <autoFilter ref="A1:K11"/>
  <sortState ref="A2:D10">
    <sortCondition descending="1" ref="C1:C10"/>
  </sortState>
  <tableColumns count="11">
    <tableColumn id="1" name="Item" dataDxfId="10" dataCellStyle="Good"/>
    <tableColumn id="4" name="Price" dataDxfId="9" dataCellStyle="Good"/>
    <tableColumn id="2" name="Lợi nhuận" dataDxfId="8" dataCellStyle="Good"/>
    <tableColumn id="3" name="% Lợi nhuận" dataDxfId="7" dataCellStyle="Good"/>
    <tableColumn id="5" name="Gỗ" dataDxfId="6" dataCellStyle="Good"/>
    <tableColumn id="6" name="Quặng" dataDxfId="5" dataCellStyle="Good"/>
    <tableColumn id="7" name="Bông" dataDxfId="4" dataCellStyle="Good"/>
    <tableColumn id="8" name="Da" dataDxfId="3" dataCellStyle="Good"/>
    <tableColumn id="9" name="Sách" dataDxfId="2" dataCellStyle="Good"/>
    <tableColumn id="10" name="Check" dataDxfId="1" dataCellStyle="Good"/>
    <tableColumn id="11" name="City" dataDxfId="0" dataCellStyle="Good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selection sqref="A1:XFD1048576"/>
    </sheetView>
  </sheetViews>
  <sheetFormatPr defaultColWidth="15.7109375" defaultRowHeight="22.5" customHeight="1" x14ac:dyDescent="0.25"/>
  <cols>
    <col min="1" max="1" width="17.42578125" bestFit="1" customWidth="1"/>
  </cols>
  <sheetData>
    <row r="1" spans="1:14" ht="22.5" customHeight="1" thickBot="1" x14ac:dyDescent="0.3">
      <c r="A1" s="9" t="s">
        <v>3</v>
      </c>
      <c r="B1" s="9" t="s">
        <v>4</v>
      </c>
      <c r="C1" s="9" t="s">
        <v>5</v>
      </c>
      <c r="D1" s="9" t="s">
        <v>6</v>
      </c>
      <c r="E1" s="9" t="s">
        <v>11</v>
      </c>
      <c r="F1" s="9" t="s">
        <v>10</v>
      </c>
      <c r="G1" s="9" t="s">
        <v>7</v>
      </c>
      <c r="I1" s="2"/>
      <c r="K1" s="2"/>
      <c r="L1" s="2"/>
      <c r="M1" s="2"/>
      <c r="N1" s="2"/>
    </row>
    <row r="2" spans="1:14" ht="22.5" customHeight="1" thickBot="1" x14ac:dyDescent="0.3">
      <c r="A2" s="10" t="s">
        <v>8</v>
      </c>
      <c r="B2" s="8"/>
      <c r="C2" s="8">
        <v>822</v>
      </c>
      <c r="D2" s="8">
        <v>812</v>
      </c>
      <c r="E2" s="8"/>
      <c r="F2" s="8"/>
      <c r="G2" s="8">
        <v>698</v>
      </c>
      <c r="I2" s="2"/>
      <c r="K2" s="1"/>
      <c r="L2" s="1"/>
      <c r="M2" s="1"/>
      <c r="N2" s="2"/>
    </row>
    <row r="3" spans="1:14" ht="22.5" customHeight="1" thickBot="1" x14ac:dyDescent="0.3">
      <c r="A3" s="10" t="s">
        <v>9</v>
      </c>
      <c r="B3" s="8"/>
      <c r="C3" s="8">
        <v>757</v>
      </c>
      <c r="D3" s="8">
        <v>716</v>
      </c>
      <c r="E3" s="8"/>
      <c r="F3" s="8"/>
      <c r="G3" s="8">
        <v>722</v>
      </c>
      <c r="I3" s="6"/>
    </row>
    <row r="4" spans="1:14" ht="22.5" customHeight="1" thickBot="1" x14ac:dyDescent="0.3">
      <c r="A4" s="1"/>
      <c r="B4" s="1"/>
      <c r="C4" s="1"/>
      <c r="D4" s="2"/>
      <c r="F4" s="1"/>
      <c r="G4" s="1"/>
      <c r="H4" s="1"/>
      <c r="I4" s="2"/>
      <c r="J4" s="11"/>
    </row>
    <row r="5" spans="1:14" ht="22.5" customHeight="1" thickBot="1" x14ac:dyDescent="0.3">
      <c r="A5" s="1"/>
      <c r="B5" s="1"/>
      <c r="C5" s="1"/>
      <c r="D5" s="2"/>
      <c r="F5" s="1"/>
      <c r="G5" s="1"/>
      <c r="H5" s="1"/>
      <c r="I5" s="2"/>
    </row>
    <row r="6" spans="1:14" ht="22.5" customHeight="1" thickBot="1" x14ac:dyDescent="0.3">
      <c r="A6" s="1"/>
      <c r="B6" s="1"/>
      <c r="C6" s="1"/>
      <c r="D6" s="2"/>
      <c r="F6" s="1"/>
      <c r="G6" s="1"/>
      <c r="H6" s="1"/>
      <c r="I6" s="2"/>
    </row>
    <row r="7" spans="1:14" ht="22.5" customHeight="1" thickBot="1" x14ac:dyDescent="0.3">
      <c r="A7" s="1"/>
      <c r="B7" s="1"/>
      <c r="C7" s="1"/>
      <c r="D7" s="2"/>
      <c r="F7" s="1"/>
      <c r="G7" s="1"/>
      <c r="H7" s="1"/>
      <c r="I7" s="2"/>
    </row>
    <row r="8" spans="1:14" ht="22.5" customHeight="1" thickBot="1" x14ac:dyDescent="0.3">
      <c r="A8" s="3"/>
      <c r="B8" s="3"/>
      <c r="C8" s="3"/>
      <c r="D8" s="5"/>
      <c r="F8" s="3"/>
      <c r="G8" s="3"/>
      <c r="H8" s="3"/>
      <c r="I8" s="7"/>
    </row>
    <row r="16" spans="1:14" ht="22.5" customHeight="1" thickBot="1" x14ac:dyDescent="0.3"/>
    <row r="17" spans="6:14" ht="22.5" customHeight="1" thickBot="1" x14ac:dyDescent="0.3">
      <c r="F17" s="2"/>
      <c r="G17" s="2"/>
      <c r="H17" s="2"/>
      <c r="I17" s="2"/>
    </row>
    <row r="18" spans="6:14" ht="22.5" customHeight="1" thickBot="1" x14ac:dyDescent="0.3">
      <c r="F18" s="1"/>
      <c r="G18" s="1"/>
      <c r="H18" s="1"/>
      <c r="I18" s="2"/>
    </row>
    <row r="19" spans="6:14" ht="22.5" customHeight="1" thickBot="1" x14ac:dyDescent="0.3">
      <c r="K19" s="1"/>
      <c r="L19" s="1"/>
      <c r="M19" s="1"/>
      <c r="N19" s="2"/>
    </row>
    <row r="20" spans="6:14" ht="22.5" customHeight="1" thickBot="1" x14ac:dyDescent="0.3">
      <c r="K20" s="1"/>
      <c r="L20" s="1"/>
      <c r="M20" s="1"/>
      <c r="N20" s="2"/>
    </row>
    <row r="21" spans="6:14" ht="22.5" customHeight="1" thickBot="1" x14ac:dyDescent="0.3">
      <c r="K21" s="1"/>
      <c r="L21" s="1"/>
      <c r="M21" s="1"/>
      <c r="N21" s="2"/>
    </row>
    <row r="22" spans="6:14" ht="22.5" customHeight="1" thickBot="1" x14ac:dyDescent="0.3">
      <c r="K22" s="1"/>
      <c r="L22" s="1"/>
      <c r="M22" s="1"/>
      <c r="N22" s="2"/>
    </row>
    <row r="23" spans="6:14" ht="22.5" customHeight="1" thickBot="1" x14ac:dyDescent="0.3">
      <c r="K23" s="1"/>
      <c r="L23" s="1"/>
      <c r="M23" s="1"/>
      <c r="N23" s="2"/>
    </row>
    <row r="24" spans="6:14" ht="22.5" customHeight="1" thickBot="1" x14ac:dyDescent="0.3">
      <c r="K24" s="3"/>
      <c r="L24" s="3"/>
      <c r="M24" s="4"/>
      <c r="N2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selection activeCell="G5" sqref="G5"/>
    </sheetView>
  </sheetViews>
  <sheetFormatPr defaultColWidth="15.7109375" defaultRowHeight="22.5" customHeight="1" x14ac:dyDescent="0.25"/>
  <cols>
    <col min="1" max="1" width="33" customWidth="1"/>
    <col min="2" max="2" width="14.28515625" customWidth="1"/>
    <col min="3" max="3" width="14.42578125" bestFit="1" customWidth="1"/>
    <col min="10" max="10" width="19.28515625" customWidth="1"/>
  </cols>
  <sheetData>
    <row r="1" spans="1:16" ht="22.5" customHeight="1" thickBot="1" x14ac:dyDescent="0.3">
      <c r="A1" s="15" t="s">
        <v>3</v>
      </c>
      <c r="B1" s="15" t="s">
        <v>13</v>
      </c>
      <c r="C1" s="16" t="s">
        <v>2</v>
      </c>
      <c r="D1" s="17" t="s">
        <v>12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20</v>
      </c>
      <c r="K1" s="16" t="s">
        <v>23</v>
      </c>
      <c r="M1" s="2"/>
      <c r="N1" s="2"/>
      <c r="O1" s="2"/>
      <c r="P1" s="2"/>
    </row>
    <row r="2" spans="1:16" ht="22.5" customHeight="1" x14ac:dyDescent="0.3">
      <c r="A2" s="30" t="s">
        <v>25</v>
      </c>
      <c r="B2" s="20">
        <v>88237</v>
      </c>
      <c r="C2" s="31">
        <v>2692231</v>
      </c>
      <c r="D2" s="32">
        <v>1.5584</v>
      </c>
      <c r="E2" s="18">
        <v>757</v>
      </c>
      <c r="F2" s="18">
        <v>455</v>
      </c>
      <c r="G2" s="18"/>
      <c r="H2" s="18"/>
      <c r="I2" s="18" t="s">
        <v>19</v>
      </c>
      <c r="J2" s="26"/>
      <c r="K2" s="26" t="s">
        <v>11</v>
      </c>
      <c r="M2" s="1"/>
      <c r="N2" s="1"/>
      <c r="O2" s="1"/>
      <c r="P2" s="2"/>
    </row>
    <row r="3" spans="1:16" ht="22.5" customHeight="1" x14ac:dyDescent="0.25">
      <c r="A3" s="22" t="s">
        <v>26</v>
      </c>
      <c r="B3" s="20">
        <v>56217</v>
      </c>
      <c r="C3" s="31">
        <v>944989</v>
      </c>
      <c r="D3" s="32">
        <v>0.50349999999999995</v>
      </c>
      <c r="E3" s="18">
        <v>606</v>
      </c>
      <c r="F3" s="18">
        <v>303</v>
      </c>
      <c r="G3" s="18"/>
      <c r="H3" s="18"/>
      <c r="I3" s="18" t="s">
        <v>22</v>
      </c>
      <c r="J3" s="26"/>
      <c r="K3" s="25" t="s">
        <v>24</v>
      </c>
    </row>
    <row r="4" spans="1:16" ht="22.5" customHeight="1" x14ac:dyDescent="0.25">
      <c r="A4" s="22" t="s">
        <v>27</v>
      </c>
      <c r="B4" s="20">
        <v>65337</v>
      </c>
      <c r="C4" s="31">
        <v>936227</v>
      </c>
      <c r="D4" s="32">
        <v>0.34350000000000003</v>
      </c>
      <c r="E4" s="18">
        <v>757</v>
      </c>
      <c r="F4" s="18">
        <v>455</v>
      </c>
      <c r="G4" s="18"/>
      <c r="H4" s="18"/>
      <c r="I4" s="18" t="s">
        <v>30</v>
      </c>
      <c r="J4" s="26"/>
      <c r="K4" s="26" t="s">
        <v>28</v>
      </c>
      <c r="L4" s="11"/>
    </row>
    <row r="5" spans="1:16" ht="22.5" customHeight="1" x14ac:dyDescent="0.25">
      <c r="A5" s="22" t="s">
        <v>29</v>
      </c>
      <c r="B5" s="20">
        <v>60696</v>
      </c>
      <c r="C5" s="31">
        <v>719261</v>
      </c>
      <c r="D5" s="32">
        <v>0.26540000000000002</v>
      </c>
      <c r="E5" s="18">
        <v>757</v>
      </c>
      <c r="F5" s="18">
        <v>455</v>
      </c>
      <c r="G5" s="18"/>
      <c r="H5" s="18"/>
      <c r="I5" s="18" t="s">
        <v>30</v>
      </c>
      <c r="J5" s="26"/>
      <c r="K5" s="25" t="s">
        <v>28</v>
      </c>
      <c r="L5" s="14"/>
    </row>
    <row r="6" spans="1:16" ht="22.5" customHeight="1" x14ac:dyDescent="0.25">
      <c r="A6" s="22"/>
      <c r="B6" s="20"/>
      <c r="C6" s="18"/>
      <c r="D6" s="19"/>
      <c r="E6" s="18"/>
      <c r="F6" s="18"/>
      <c r="G6" s="18"/>
      <c r="H6" s="18"/>
      <c r="I6" s="18"/>
      <c r="J6" s="25"/>
      <c r="K6" s="25"/>
      <c r="L6" s="14"/>
    </row>
    <row r="7" spans="1:16" ht="22.5" customHeight="1" x14ac:dyDescent="0.25">
      <c r="A7" s="22"/>
      <c r="B7" s="20"/>
      <c r="C7" s="18"/>
      <c r="D7" s="19"/>
      <c r="E7" s="18"/>
      <c r="F7" s="18"/>
      <c r="G7" s="18"/>
      <c r="H7" s="18"/>
      <c r="I7" s="18"/>
      <c r="J7" s="25"/>
      <c r="K7" s="25"/>
      <c r="L7" s="14"/>
    </row>
    <row r="8" spans="1:16" ht="22.5" customHeight="1" x14ac:dyDescent="0.25">
      <c r="A8" s="22"/>
      <c r="B8" s="20"/>
      <c r="C8" s="18"/>
      <c r="D8" s="19"/>
      <c r="E8" s="18"/>
      <c r="F8" s="18"/>
      <c r="G8" s="18"/>
      <c r="H8" s="18"/>
      <c r="I8" s="18"/>
      <c r="J8" s="25"/>
      <c r="K8" s="25"/>
      <c r="L8" s="14"/>
    </row>
    <row r="9" spans="1:16" ht="22.5" customHeight="1" x14ac:dyDescent="0.25">
      <c r="A9" s="22"/>
      <c r="B9" s="20"/>
      <c r="C9" s="18"/>
      <c r="D9" s="19"/>
      <c r="E9" s="18"/>
      <c r="F9" s="18"/>
      <c r="G9" s="18"/>
      <c r="H9" s="18"/>
      <c r="I9" s="18"/>
      <c r="J9" s="25"/>
      <c r="K9" s="25"/>
      <c r="L9" s="14"/>
    </row>
    <row r="10" spans="1:16" ht="22.5" customHeight="1" x14ac:dyDescent="0.25">
      <c r="A10" s="23"/>
      <c r="B10" s="21"/>
      <c r="C10" s="18"/>
      <c r="D10" s="19"/>
      <c r="E10" s="18"/>
      <c r="F10" s="18"/>
      <c r="G10" s="18"/>
      <c r="H10" s="18"/>
      <c r="I10" s="18"/>
      <c r="J10" s="27"/>
      <c r="K10" s="25"/>
      <c r="L10" s="14"/>
    </row>
    <row r="11" spans="1:16" ht="22.5" customHeight="1" x14ac:dyDescent="0.25">
      <c r="A11" s="28" t="s">
        <v>21</v>
      </c>
      <c r="B11" s="21"/>
      <c r="C11" s="27"/>
      <c r="D11" s="29"/>
      <c r="E11" s="27">
        <f>SUM(E2:E10)</f>
        <v>2877</v>
      </c>
      <c r="F11" s="27">
        <f t="shared" ref="F11:H11" si="0">SUM(F2:F10)</f>
        <v>1668</v>
      </c>
      <c r="G11" s="27">
        <f t="shared" si="0"/>
        <v>0</v>
      </c>
      <c r="H11" s="27">
        <f t="shared" si="0"/>
        <v>0</v>
      </c>
      <c r="I11" s="27" t="s">
        <v>31</v>
      </c>
      <c r="J11" s="27"/>
      <c r="K11" s="27"/>
      <c r="L11" s="14"/>
    </row>
    <row r="12" spans="1:16" ht="22.5" customHeight="1" x14ac:dyDescent="0.25">
      <c r="A12" s="12"/>
      <c r="B12" s="12"/>
      <c r="I12" s="14"/>
      <c r="J12" s="14"/>
      <c r="K12" s="14"/>
      <c r="L12" s="14"/>
    </row>
    <row r="13" spans="1:16" ht="22.5" customHeight="1" x14ac:dyDescent="0.25">
      <c r="A13" s="12"/>
      <c r="B13" s="12"/>
      <c r="I13" s="14"/>
      <c r="J13" s="14"/>
      <c r="K13" s="14"/>
      <c r="L13" s="14"/>
    </row>
    <row r="14" spans="1:16" ht="22.5" customHeight="1" x14ac:dyDescent="0.25">
      <c r="A14" s="12"/>
      <c r="B14" s="12"/>
      <c r="I14" s="14"/>
      <c r="J14" s="14"/>
      <c r="K14" s="14"/>
      <c r="L14" s="14"/>
    </row>
    <row r="15" spans="1:16" ht="22.5" customHeight="1" x14ac:dyDescent="0.25">
      <c r="A15" s="12"/>
      <c r="B15" s="12"/>
      <c r="I15" s="14"/>
      <c r="J15" s="14"/>
      <c r="K15" s="14"/>
      <c r="L15" s="14"/>
    </row>
    <row r="16" spans="1:16" ht="22.5" customHeight="1" thickBot="1" x14ac:dyDescent="0.3">
      <c r="A16" s="12"/>
      <c r="B16" s="12"/>
      <c r="I16" s="14"/>
      <c r="J16" s="14"/>
      <c r="K16" s="14"/>
      <c r="L16" s="14"/>
    </row>
    <row r="17" spans="1:16" ht="22.5" customHeight="1" thickBot="1" x14ac:dyDescent="0.3">
      <c r="A17" s="12"/>
      <c r="B17" s="12"/>
      <c r="H17" s="2"/>
      <c r="I17" s="13"/>
      <c r="J17" s="13"/>
      <c r="K17" s="13"/>
    </row>
    <row r="18" spans="1:16" ht="22.5" customHeight="1" thickBot="1" x14ac:dyDescent="0.3">
      <c r="H18" s="1"/>
      <c r="I18" s="1"/>
      <c r="J18" s="1"/>
      <c r="K18" s="2"/>
    </row>
    <row r="19" spans="1:16" ht="22.5" customHeight="1" thickBot="1" x14ac:dyDescent="0.3">
      <c r="M19" s="1"/>
      <c r="N19" s="1"/>
      <c r="O19" s="1"/>
      <c r="P19" s="2"/>
    </row>
    <row r="20" spans="1:16" ht="22.5" customHeight="1" thickBot="1" x14ac:dyDescent="0.3">
      <c r="M20" s="1"/>
      <c r="N20" s="1"/>
      <c r="O20" s="1"/>
      <c r="P20" s="2"/>
    </row>
    <row r="21" spans="1:16" ht="22.5" customHeight="1" thickBot="1" x14ac:dyDescent="0.3">
      <c r="M21" s="1"/>
      <c r="N21" s="1"/>
      <c r="O21" s="1"/>
      <c r="P21" s="2"/>
    </row>
    <row r="22" spans="1:16" ht="22.5" customHeight="1" thickBot="1" x14ac:dyDescent="0.3">
      <c r="M22" s="1"/>
      <c r="N22" s="1"/>
      <c r="O22" s="1"/>
      <c r="P22" s="2"/>
    </row>
    <row r="23" spans="1:16" ht="22.5" customHeight="1" thickBot="1" x14ac:dyDescent="0.3">
      <c r="M23" s="1"/>
      <c r="N23" s="1"/>
      <c r="O23" s="1"/>
      <c r="P23" s="2"/>
    </row>
    <row r="24" spans="1:16" ht="22.5" customHeight="1" thickBot="1" x14ac:dyDescent="0.3">
      <c r="M24" s="3"/>
      <c r="N24" s="3"/>
      <c r="O24" s="4"/>
      <c r="P24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N6" sqref="N6"/>
    </sheetView>
  </sheetViews>
  <sheetFormatPr defaultRowHeight="15" x14ac:dyDescent="0.25"/>
  <cols>
    <col min="1" max="1" width="32.85546875" style="33" bestFit="1" customWidth="1"/>
    <col min="2" max="3" width="15.42578125" style="33" customWidth="1"/>
    <col min="4" max="4" width="30.85546875" style="33" bestFit="1" customWidth="1"/>
    <col min="5" max="6" width="17.140625" style="33" customWidth="1"/>
    <col min="7" max="7" width="30.85546875" style="33" bestFit="1" customWidth="1"/>
    <col min="8" max="9" width="12.140625" style="33" customWidth="1"/>
    <col min="10" max="10" width="14.28515625" style="33" customWidth="1"/>
    <col min="11" max="11" width="15.42578125" style="33" customWidth="1"/>
    <col min="12" max="12" width="13.28515625" style="33" bestFit="1" customWidth="1"/>
    <col min="13" max="13" width="15.28515625" style="33" customWidth="1"/>
    <col min="14" max="14" width="17.42578125" style="33" customWidth="1"/>
    <col min="15" max="20" width="9.140625" style="33"/>
    <col min="21" max="21" width="9" style="33" customWidth="1"/>
    <col min="22" max="16384" width="9.140625" style="33"/>
  </cols>
  <sheetData>
    <row r="1" spans="1:14" s="38" customFormat="1" ht="22.5" customHeight="1" x14ac:dyDescent="0.25">
      <c r="A1" s="37" t="s">
        <v>36</v>
      </c>
      <c r="B1" s="37"/>
      <c r="C1" s="37"/>
      <c r="D1" s="37" t="s">
        <v>32</v>
      </c>
      <c r="E1" s="37"/>
      <c r="F1" s="37"/>
      <c r="G1" s="37" t="s">
        <v>33</v>
      </c>
      <c r="H1" s="37"/>
      <c r="I1" s="37"/>
      <c r="J1" s="37" t="s">
        <v>1</v>
      </c>
      <c r="K1" s="37" t="s">
        <v>40</v>
      </c>
      <c r="L1" s="37" t="s">
        <v>2</v>
      </c>
      <c r="M1" s="45" t="s">
        <v>41</v>
      </c>
      <c r="N1" s="41" t="s">
        <v>42</v>
      </c>
    </row>
    <row r="2" spans="1:14" s="38" customFormat="1" ht="22.5" customHeight="1" x14ac:dyDescent="0.25">
      <c r="A2" s="39" t="s">
        <v>37</v>
      </c>
      <c r="B2" s="44" t="s">
        <v>38</v>
      </c>
      <c r="C2" s="39" t="s">
        <v>0</v>
      </c>
      <c r="D2" s="39" t="s">
        <v>37</v>
      </c>
      <c r="E2" s="39" t="s">
        <v>38</v>
      </c>
      <c r="F2" s="39" t="s">
        <v>0</v>
      </c>
      <c r="G2" s="39" t="s">
        <v>37</v>
      </c>
      <c r="H2" s="39" t="s">
        <v>38</v>
      </c>
      <c r="I2" s="39" t="s">
        <v>0</v>
      </c>
      <c r="J2" s="37"/>
      <c r="K2" s="37"/>
      <c r="L2" s="37"/>
      <c r="M2" s="45"/>
      <c r="N2" s="37"/>
    </row>
    <row r="3" spans="1:14" x14ac:dyDescent="0.25">
      <c r="A3" s="46" t="s">
        <v>35</v>
      </c>
      <c r="B3" s="42">
        <v>2118</v>
      </c>
      <c r="C3" s="34">
        <v>2000</v>
      </c>
      <c r="D3" s="46" t="s">
        <v>39</v>
      </c>
      <c r="E3" s="34">
        <v>385</v>
      </c>
      <c r="F3" s="35">
        <v>1267</v>
      </c>
      <c r="G3" s="46" t="s">
        <v>34</v>
      </c>
      <c r="H3" s="34">
        <v>722</v>
      </c>
      <c r="I3" s="35">
        <v>3799</v>
      </c>
      <c r="J3" s="34">
        <f>E3*F3+H3*I3</f>
        <v>3230673</v>
      </c>
      <c r="K3" s="36">
        <f>C3*B3</f>
        <v>4236000</v>
      </c>
      <c r="L3" s="36">
        <f>K3-J3</f>
        <v>1005327</v>
      </c>
      <c r="M3" s="43">
        <f>J3/C3</f>
        <v>1615.3364999999999</v>
      </c>
      <c r="N3" s="40">
        <f>(B3-M3)</f>
        <v>502.66350000000011</v>
      </c>
    </row>
    <row r="4" spans="1:14" x14ac:dyDescent="0.25">
      <c r="A4" s="46" t="s">
        <v>43</v>
      </c>
      <c r="B4" s="42">
        <v>2505</v>
      </c>
      <c r="C4" s="34">
        <v>2000</v>
      </c>
      <c r="D4" s="46" t="s">
        <v>44</v>
      </c>
      <c r="E4" s="34">
        <v>485</v>
      </c>
      <c r="F4" s="35">
        <v>1267</v>
      </c>
      <c r="G4" s="46" t="s">
        <v>45</v>
      </c>
      <c r="H4" s="34">
        <v>900</v>
      </c>
      <c r="I4" s="35">
        <v>3799</v>
      </c>
      <c r="J4" s="34">
        <f t="shared" ref="J4:J6" si="0">E4*F4+H4*I4</f>
        <v>4033595</v>
      </c>
      <c r="K4" s="36">
        <f t="shared" ref="K4:K6" si="1">C4*B4</f>
        <v>5010000</v>
      </c>
      <c r="L4" s="36">
        <f t="shared" ref="L4:L6" si="2">K4-J4</f>
        <v>976405</v>
      </c>
      <c r="M4" s="43">
        <f t="shared" ref="M4:M6" si="3">J4/C4</f>
        <v>2016.7974999999999</v>
      </c>
      <c r="N4" s="40">
        <f t="shared" ref="N4:N6" si="4">(B4-M4)</f>
        <v>488.2025000000001</v>
      </c>
    </row>
    <row r="5" spans="1:14" x14ac:dyDescent="0.25">
      <c r="A5" s="46" t="s">
        <v>46</v>
      </c>
      <c r="B5" s="42"/>
      <c r="C5" s="34">
        <v>2000</v>
      </c>
      <c r="D5" s="46" t="s">
        <v>51</v>
      </c>
      <c r="E5" s="34"/>
      <c r="F5" s="35">
        <v>1267</v>
      </c>
      <c r="G5" s="46" t="s">
        <v>50</v>
      </c>
      <c r="H5" s="34"/>
      <c r="I5" s="35">
        <v>3799</v>
      </c>
      <c r="J5" s="34">
        <f t="shared" si="0"/>
        <v>0</v>
      </c>
      <c r="K5" s="36">
        <f t="shared" si="1"/>
        <v>0</v>
      </c>
      <c r="L5" s="36">
        <f t="shared" si="2"/>
        <v>0</v>
      </c>
      <c r="M5" s="43">
        <f t="shared" si="3"/>
        <v>0</v>
      </c>
      <c r="N5" s="40">
        <f t="shared" si="4"/>
        <v>0</v>
      </c>
    </row>
    <row r="6" spans="1:14" x14ac:dyDescent="0.25">
      <c r="A6" s="46" t="s">
        <v>47</v>
      </c>
      <c r="B6" s="42">
        <v>1570</v>
      </c>
      <c r="C6" s="34">
        <v>2000</v>
      </c>
      <c r="D6" s="46" t="s">
        <v>49</v>
      </c>
      <c r="E6" s="34">
        <v>400</v>
      </c>
      <c r="F6" s="35">
        <v>1267</v>
      </c>
      <c r="G6" s="46" t="s">
        <v>48</v>
      </c>
      <c r="H6" s="34">
        <v>490</v>
      </c>
      <c r="I6" s="35">
        <v>3799</v>
      </c>
      <c r="J6" s="34">
        <f t="shared" si="0"/>
        <v>2368310</v>
      </c>
      <c r="K6" s="36">
        <f t="shared" si="1"/>
        <v>3140000</v>
      </c>
      <c r="L6" s="36">
        <f t="shared" si="2"/>
        <v>771690</v>
      </c>
      <c r="M6" s="43">
        <f t="shared" si="3"/>
        <v>1184.155</v>
      </c>
      <c r="N6" s="40">
        <f t="shared" si="4"/>
        <v>385.84500000000003</v>
      </c>
    </row>
    <row r="7" spans="1:14" x14ac:dyDescent="0.25">
      <c r="A7" s="34"/>
      <c r="B7" s="42"/>
      <c r="C7" s="34">
        <v>2000</v>
      </c>
      <c r="D7" s="34"/>
      <c r="E7" s="34"/>
      <c r="F7" s="35">
        <v>1267</v>
      </c>
      <c r="G7" s="34"/>
      <c r="H7" s="34"/>
      <c r="I7" s="35">
        <v>3799</v>
      </c>
      <c r="J7" s="34"/>
      <c r="K7" s="34"/>
      <c r="L7" s="34"/>
      <c r="M7" s="42"/>
      <c r="N7" s="34"/>
    </row>
    <row r="8" spans="1:14" x14ac:dyDescent="0.25">
      <c r="A8" s="34"/>
      <c r="B8" s="42"/>
      <c r="C8" s="34">
        <v>2000</v>
      </c>
      <c r="D8" s="34"/>
      <c r="E8" s="34"/>
      <c r="F8" s="35">
        <v>1267</v>
      </c>
      <c r="G8" s="34"/>
      <c r="H8" s="34"/>
      <c r="I8" s="35">
        <v>3799</v>
      </c>
      <c r="J8" s="34"/>
      <c r="K8" s="34"/>
      <c r="L8" s="34"/>
      <c r="M8" s="42"/>
      <c r="N8" s="34"/>
    </row>
    <row r="9" spans="1:14" x14ac:dyDescent="0.25">
      <c r="A9" s="34"/>
      <c r="B9" s="42"/>
      <c r="C9" s="34">
        <v>2000</v>
      </c>
      <c r="D9" s="34"/>
      <c r="E9" s="34"/>
      <c r="F9" s="35">
        <v>1267</v>
      </c>
      <c r="G9" s="34"/>
      <c r="H9" s="34"/>
      <c r="I9" s="35">
        <v>3799</v>
      </c>
      <c r="J9" s="34"/>
      <c r="K9" s="34"/>
      <c r="L9" s="34"/>
      <c r="M9" s="42"/>
      <c r="N9" s="34"/>
    </row>
    <row r="10" spans="1:14" x14ac:dyDescent="0.25">
      <c r="A10" s="34"/>
      <c r="B10" s="42"/>
      <c r="C10" s="34">
        <v>2000</v>
      </c>
      <c r="D10" s="34"/>
      <c r="E10" s="34"/>
      <c r="F10" s="35">
        <v>1267</v>
      </c>
      <c r="G10" s="34"/>
      <c r="H10" s="34"/>
      <c r="I10" s="35">
        <v>3799</v>
      </c>
      <c r="J10" s="34"/>
      <c r="K10" s="34"/>
      <c r="L10" s="34"/>
      <c r="M10" s="42"/>
      <c r="N10" s="34"/>
    </row>
    <row r="11" spans="1:14" x14ac:dyDescent="0.25">
      <c r="A11" s="34"/>
      <c r="B11" s="42"/>
      <c r="C11" s="34">
        <v>2000</v>
      </c>
      <c r="D11" s="34"/>
      <c r="E11" s="34"/>
      <c r="F11" s="35">
        <v>1267</v>
      </c>
      <c r="G11" s="34"/>
      <c r="H11" s="34"/>
      <c r="I11" s="35">
        <v>3799</v>
      </c>
      <c r="J11" s="34"/>
      <c r="K11" s="34"/>
      <c r="L11" s="34"/>
      <c r="M11" s="42"/>
      <c r="N11" s="34"/>
    </row>
    <row r="12" spans="1:14" x14ac:dyDescent="0.25">
      <c r="A12" s="34"/>
      <c r="B12" s="42"/>
      <c r="C12" s="34">
        <v>2000</v>
      </c>
      <c r="D12" s="34"/>
      <c r="E12" s="34"/>
      <c r="F12" s="35">
        <v>1267</v>
      </c>
      <c r="G12" s="34"/>
      <c r="H12" s="34"/>
      <c r="I12" s="35">
        <v>3799</v>
      </c>
      <c r="J12" s="34"/>
      <c r="K12" s="34"/>
      <c r="L12" s="34"/>
      <c r="M12" s="42"/>
      <c r="N12" s="34"/>
    </row>
    <row r="13" spans="1:14" x14ac:dyDescent="0.25">
      <c r="A13" s="34"/>
      <c r="B13" s="42"/>
      <c r="C13" s="34">
        <v>2000</v>
      </c>
      <c r="D13" s="34"/>
      <c r="E13" s="34"/>
      <c r="F13" s="35">
        <v>1267</v>
      </c>
      <c r="G13" s="34"/>
      <c r="H13" s="34"/>
      <c r="I13" s="35">
        <v>3799</v>
      </c>
      <c r="J13" s="34"/>
      <c r="K13" s="34"/>
      <c r="L13" s="34"/>
      <c r="M13" s="42"/>
      <c r="N13" s="34"/>
    </row>
    <row r="14" spans="1:14" x14ac:dyDescent="0.25">
      <c r="A14" s="34"/>
      <c r="B14" s="42"/>
      <c r="C14" s="34">
        <v>2000</v>
      </c>
      <c r="D14" s="34"/>
      <c r="E14" s="34"/>
      <c r="F14" s="35">
        <v>1267</v>
      </c>
      <c r="G14" s="34"/>
      <c r="H14" s="34"/>
      <c r="I14" s="35">
        <v>3799</v>
      </c>
      <c r="J14" s="34"/>
      <c r="K14" s="34"/>
      <c r="L14" s="34"/>
      <c r="M14" s="42"/>
      <c r="N14" s="34"/>
    </row>
    <row r="15" spans="1:14" x14ac:dyDescent="0.25">
      <c r="A15" s="34"/>
      <c r="B15" s="42"/>
      <c r="C15" s="34">
        <v>2000</v>
      </c>
      <c r="D15" s="34"/>
      <c r="E15" s="34"/>
      <c r="F15" s="35">
        <v>1267</v>
      </c>
      <c r="G15" s="34"/>
      <c r="H15" s="34"/>
      <c r="I15" s="35">
        <v>3799</v>
      </c>
      <c r="J15" s="34"/>
      <c r="K15" s="34"/>
      <c r="L15" s="34"/>
      <c r="M15" s="42"/>
      <c r="N15" s="34"/>
    </row>
    <row r="16" spans="1:14" x14ac:dyDescent="0.25">
      <c r="A16" s="34"/>
      <c r="B16" s="42"/>
      <c r="C16" s="34">
        <v>2000</v>
      </c>
      <c r="D16" s="34"/>
      <c r="E16" s="34"/>
      <c r="F16" s="35">
        <v>1267</v>
      </c>
      <c r="G16" s="34"/>
      <c r="H16" s="34"/>
      <c r="I16" s="35">
        <v>3799</v>
      </c>
      <c r="J16" s="34"/>
      <c r="K16" s="34"/>
      <c r="L16" s="34"/>
      <c r="M16" s="42"/>
      <c r="N16" s="34"/>
    </row>
    <row r="17" spans="1:14" x14ac:dyDescent="0.25">
      <c r="A17" s="34"/>
      <c r="B17" s="42"/>
      <c r="C17" s="34">
        <v>2000</v>
      </c>
      <c r="D17" s="34"/>
      <c r="E17" s="34"/>
      <c r="F17" s="35">
        <v>1267</v>
      </c>
      <c r="G17" s="34"/>
      <c r="H17" s="34"/>
      <c r="I17" s="35">
        <v>3799</v>
      </c>
      <c r="J17" s="34"/>
      <c r="K17" s="34"/>
      <c r="L17" s="34"/>
      <c r="M17" s="42"/>
      <c r="N17" s="34"/>
    </row>
    <row r="18" spans="1:14" x14ac:dyDescent="0.25">
      <c r="A18" s="34"/>
      <c r="B18" s="42"/>
      <c r="C18" s="34">
        <v>2000</v>
      </c>
      <c r="D18" s="34"/>
      <c r="E18" s="34"/>
      <c r="F18" s="35">
        <v>1267</v>
      </c>
      <c r="G18" s="34"/>
      <c r="H18" s="34"/>
      <c r="I18" s="35">
        <v>3799</v>
      </c>
      <c r="J18" s="34"/>
      <c r="K18" s="34"/>
      <c r="L18" s="34"/>
      <c r="M18" s="42"/>
      <c r="N18" s="34"/>
    </row>
    <row r="19" spans="1:14" x14ac:dyDescent="0.25">
      <c r="A19" s="34"/>
      <c r="B19" s="42"/>
      <c r="C19" s="34">
        <v>2000</v>
      </c>
      <c r="D19" s="34"/>
      <c r="E19" s="34"/>
      <c r="F19" s="35">
        <v>1267</v>
      </c>
      <c r="G19" s="34"/>
      <c r="H19" s="34"/>
      <c r="I19" s="35">
        <v>3799</v>
      </c>
      <c r="J19" s="34"/>
      <c r="K19" s="34"/>
      <c r="L19" s="34"/>
      <c r="M19" s="42"/>
      <c r="N19" s="34"/>
    </row>
    <row r="20" spans="1:14" x14ac:dyDescent="0.25">
      <c r="A20" s="34"/>
      <c r="B20" s="42"/>
      <c r="C20" s="34">
        <v>2000</v>
      </c>
      <c r="D20" s="34"/>
      <c r="E20" s="34"/>
      <c r="F20" s="35">
        <v>1267</v>
      </c>
      <c r="G20" s="34"/>
      <c r="H20" s="34"/>
      <c r="I20" s="35">
        <v>3799</v>
      </c>
      <c r="J20" s="34"/>
      <c r="K20" s="34"/>
      <c r="L20" s="34"/>
      <c r="M20" s="42"/>
      <c r="N20" s="34"/>
    </row>
    <row r="21" spans="1:14" x14ac:dyDescent="0.25">
      <c r="A21" s="34"/>
      <c r="B21" s="42"/>
      <c r="C21" s="34">
        <v>2000</v>
      </c>
      <c r="D21" s="34"/>
      <c r="E21" s="34"/>
      <c r="F21" s="35">
        <v>1267</v>
      </c>
      <c r="G21" s="34"/>
      <c r="H21" s="34"/>
      <c r="I21" s="35">
        <v>3799</v>
      </c>
      <c r="J21" s="34"/>
      <c r="K21" s="34"/>
      <c r="L21" s="34"/>
      <c r="M21" s="42"/>
      <c r="N21" s="34"/>
    </row>
    <row r="22" spans="1:14" x14ac:dyDescent="0.25">
      <c r="A22" s="34"/>
      <c r="B22" s="42"/>
      <c r="C22" s="34">
        <v>2000</v>
      </c>
      <c r="D22" s="34"/>
      <c r="E22" s="34"/>
      <c r="F22" s="35">
        <v>1267</v>
      </c>
      <c r="G22" s="34"/>
      <c r="H22" s="34"/>
      <c r="I22" s="35">
        <v>3799</v>
      </c>
      <c r="J22" s="34"/>
      <c r="K22" s="34"/>
      <c r="L22" s="34"/>
      <c r="M22" s="42"/>
      <c r="N22" s="34"/>
    </row>
  </sheetData>
  <mergeCells count="8">
    <mergeCell ref="J1:J2"/>
    <mergeCell ref="K1:K2"/>
    <mergeCell ref="L1:L2"/>
    <mergeCell ref="M1:M2"/>
    <mergeCell ref="N1:N2"/>
    <mergeCell ref="D1:F1"/>
    <mergeCell ref="G1:I1"/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 Price</vt:lpstr>
      <vt:lpstr>Check craft</vt:lpstr>
      <vt:lpstr>Refine1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B121803</dc:creator>
  <cp:lastModifiedBy>B121803</cp:lastModifiedBy>
  <dcterms:created xsi:type="dcterms:W3CDTF">2026-01-07T01:29:04Z</dcterms:created>
  <dcterms:modified xsi:type="dcterms:W3CDTF">2026-09-11T06:11:11Z</dcterms:modified>
</cp:coreProperties>
</file>