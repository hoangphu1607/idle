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nter_skeleton" sheetId="3" r:id="rId1"/>
    <sheet name="monter_thief" sheetId="1" r:id="rId2"/>
    <sheet name="hero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3" l="1"/>
  <c r="H23" i="3"/>
  <c r="H16" i="3"/>
  <c r="H9" i="3"/>
  <c r="H2" i="3"/>
  <c r="M11" i="2" l="1"/>
  <c r="M12" i="2" s="1"/>
  <c r="H11" i="2"/>
  <c r="H2" i="2"/>
  <c r="H30" i="1"/>
  <c r="H2" i="1"/>
  <c r="H23" i="1"/>
  <c r="H16" i="1"/>
  <c r="H9" i="1"/>
</calcChain>
</file>

<file path=xl/sharedStrings.xml><?xml version="1.0" encoding="utf-8"?>
<sst xmlns="http://schemas.openxmlformats.org/spreadsheetml/2006/main" count="168" uniqueCount="35">
  <si>
    <t>Attack Physic</t>
  </si>
  <si>
    <t>thief_dagger</t>
  </si>
  <si>
    <t>Attack Magic</t>
  </si>
  <si>
    <t>HP</t>
  </si>
  <si>
    <t>MP</t>
  </si>
  <si>
    <t>Armor</t>
  </si>
  <si>
    <t>Magic Resis</t>
  </si>
  <si>
    <t>Skill 1</t>
  </si>
  <si>
    <t>Tấn công 1 kẻ địch, gây 100 % sát thương vật lý
CD: 1
CD init: 0.2</t>
  </si>
  <si>
    <t>thief_sword</t>
  </si>
  <si>
    <t>thief_bow</t>
  </si>
  <si>
    <t>thief_miner</t>
  </si>
  <si>
    <t>thief_mage</t>
  </si>
  <si>
    <t>Tấn công 1 kẻ địch, gây 100 % sát thương phép
CD: 1
CD init: 0.2</t>
  </si>
  <si>
    <t xml:space="preserve">Tấn công 1 kẻ địch, gây 100 % sát thương vật lý
</t>
  </si>
  <si>
    <t>DPS (30s)</t>
  </si>
  <si>
    <t>CD</t>
  </si>
  <si>
    <t>CD init</t>
  </si>
  <si>
    <t>Base dame</t>
  </si>
  <si>
    <t>Mace</t>
  </si>
  <si>
    <t>Mage</t>
  </si>
  <si>
    <t xml:space="preserve">Tấn công 1 kẻ địch, gây 100 % sát thương phép
</t>
  </si>
  <si>
    <t>Nature</t>
  </si>
  <si>
    <t>Hồi máu cho đồng minh
Mỗi stack hồi 10 máu/s
Tối đa 3 stack trên hero
Duy trì 4s</t>
  </si>
  <si>
    <t>Keeping</t>
  </si>
  <si>
    <t>DPS (3s)</t>
  </si>
  <si>
    <t>Area</t>
  </si>
  <si>
    <t>AP</t>
  </si>
  <si>
    <t xml:space="preserve">Triệu hồi quả cầu phép, gây 300% sát thương phép + 150 AP khu vực 2x2 trong 3s
</t>
  </si>
  <si>
    <t>Full Area</t>
  </si>
  <si>
    <t>skeleton_sword</t>
  </si>
  <si>
    <t>skeleton_bow</t>
  </si>
  <si>
    <t>skeleton_mage</t>
  </si>
  <si>
    <t>skeleton_warlock</t>
  </si>
  <si>
    <t>skeleton_knight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</si>
</sst>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1" applyBorder="1"/>
    <xf numFmtId="0" fontId="0" fillId="0" borderId="0" xfId="0" applyFill="1" applyBorder="1"/>
    <xf numFmtId="0" fontId="0" fillId="0" borderId="3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monter_skeleton!$A$1:$B$33</c15:sqref>
                  </c15:fullRef>
                </c:ext>
              </c:extLst>
              <c:f>monter_skeleton!$A$3:$B$3</c:f>
              <c:multiLvlStrCache>
                <c:ptCount val="1"/>
                <c:lvl>
                  <c:pt idx="0">
                    <c:v>HP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monter_skeleton!$C$1:$C$33</c15:sqref>
                  </c15:fullRef>
                </c:ext>
              </c:extLst>
              <c:f>monter_skeleton!$C$3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5-428A-A9A6-64A8C9468F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1310511"/>
        <c:axId val="1261313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monter_skeleton!$A$1:$B$33</c15:sqref>
                        </c15:fullRef>
                        <c15:formulaRef>
                          <c15:sqref>monter_skeleton!$A$3:$B$3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monter_skeleton!$D$1:$D$33</c15:sqref>
                        </c15:fullRef>
                        <c15:formulaRef>
                          <c15:sqref>monter_skeleton!$D$3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F45-428A-A9A6-64A8C9468FA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monter_skeleton!$A$1:$B$33</c15:sqref>
                        </c15:fullRef>
                        <c15:formulaRef>
                          <c15:sqref>monter_skeleton!$A$3:$B$3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monter_skeleton!$E$1:$E$33</c15:sqref>
                        </c15:fullRef>
                        <c15:formulaRef>
                          <c15:sqref>monter_skeleton!$E$3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F45-428A-A9A6-64A8C9468FA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monter_skeleton!$A$1:$B$33</c15:sqref>
                        </c15:fullRef>
                        <c15:formulaRef>
                          <c15:sqref>monter_skeleton!$A$3:$B$3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monter_skeleton!$F$1:$F$33</c15:sqref>
                        </c15:fullRef>
                        <c15:formulaRef>
                          <c15:sqref>monter_skeleton!$F$3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F45-428A-A9A6-64A8C9468FAD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monter_skeleton!$A$1:$B$33</c15:sqref>
                        </c15:fullRef>
                        <c15:formulaRef>
                          <c15:sqref>monter_skeleton!$A$3:$B$3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monter_skeleton!$G$1:$G$33</c15:sqref>
                        </c15:fullRef>
                        <c15:formulaRef>
                          <c15:sqref>monter_skeleton!$G$3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F45-428A-A9A6-64A8C9468FAD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monter_skeleton!$A$1:$B$33</c15:sqref>
                        </c15:fullRef>
                        <c15:formulaRef>
                          <c15:sqref>monter_skeleton!$A$3:$B$3</c15:sqref>
                        </c15:formulaRef>
                      </c:ext>
                    </c:extLst>
                    <c:multiLvlStrCache>
                      <c:ptCount val="1"/>
                      <c:lvl>
                        <c:pt idx="0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monter_skeleton!$H$1:$H$33</c15:sqref>
                        </c15:fullRef>
                        <c15:formulaRef>
                          <c15:sqref>monter_skeleton!$H$3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BF45-428A-A9A6-64A8C9468FAD}"/>
                  </c:ext>
                </c:extLst>
              </c15:ser>
            </c15:filteredBarSeries>
          </c:ext>
        </c:extLst>
      </c:barChart>
      <c:catAx>
        <c:axId val="126131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13007"/>
        <c:crosses val="autoZero"/>
        <c:auto val="1"/>
        <c:lblAlgn val="ctr"/>
        <c:lblOffset val="100"/>
        <c:noMultiLvlLbl val="0"/>
      </c:catAx>
      <c:valAx>
        <c:axId val="12613130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613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monter_thief!$A$1:$B$33</c15:sqref>
                  </c15:fullRef>
                </c:ext>
              </c:extLst>
              <c:f>(monter_thief!$A$3:$B$3,monter_thief!$A$10:$B$10,monter_thief!$A$17:$B$17,monter_thief!$A$24:$B$24,monter_thief!$A$31:$B$31)</c:f>
              <c:multiLvlStrCache>
                <c:ptCount val="5"/>
                <c:lvl>
                  <c:pt idx="0">
                    <c:v>HP</c:v>
                  </c:pt>
                  <c:pt idx="1">
                    <c:v>HP</c:v>
                  </c:pt>
                  <c:pt idx="2">
                    <c:v>HP</c:v>
                  </c:pt>
                  <c:pt idx="3">
                    <c:v>HP</c:v>
                  </c:pt>
                  <c:pt idx="4">
                    <c:v>HP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monter_thief!$C$1:$C$33</c15:sqref>
                  </c15:fullRef>
                </c:ext>
              </c:extLst>
              <c:f>(monter_thief!$C$3,monter_thief!$C$10,monter_thief!$C$17,monter_thief!$C$24,monter_thief!$C$31)</c:f>
              <c:numCache>
                <c:formatCode>General</c:formatCode>
                <c:ptCount val="5"/>
                <c:pt idx="0">
                  <c:v>800</c:v>
                </c:pt>
                <c:pt idx="1">
                  <c:v>800</c:v>
                </c:pt>
                <c:pt idx="2">
                  <c:v>1200</c:v>
                </c:pt>
                <c:pt idx="3">
                  <c:v>1100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2-4F06-A5D3-90C6464759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1310511"/>
        <c:axId val="12613130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monter_thief!$A$1:$B$33</c15:sqref>
                        </c15:fullRef>
                        <c15:formulaRef>
                          <c15:sqref>(monter_thief!$A$3:$B$3,monter_thief!$A$10:$B$10,monter_thief!$A$17:$B$17,monter_thief!$A$24:$B$24,monter_thief!$A$31:$B$31)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HP</c:v>
                        </c:pt>
                        <c:pt idx="1">
                          <c:v>HP</c:v>
                        </c:pt>
                        <c:pt idx="2">
                          <c:v>HP</c:v>
                        </c:pt>
                        <c:pt idx="3">
                          <c:v>HP</c:v>
                        </c:pt>
                        <c:pt idx="4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monter_thief!$D$1:$D$33</c15:sqref>
                        </c15:fullRef>
                        <c15:formulaRef>
                          <c15:sqref>(monter_thief!$D$3,monter_thief!$D$10,monter_thief!$D$17,monter_thief!$D$24,monter_thief!$D$31)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6B2-4F06-A5D3-90C646475992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monter_thief!$A$1:$B$33</c15:sqref>
                        </c15:fullRef>
                        <c15:formulaRef>
                          <c15:sqref>(monter_thief!$A$3:$B$3,monter_thief!$A$10:$B$10,monter_thief!$A$17:$B$17,monter_thief!$A$24:$B$24,monter_thief!$A$31:$B$31)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HP</c:v>
                        </c:pt>
                        <c:pt idx="1">
                          <c:v>HP</c:v>
                        </c:pt>
                        <c:pt idx="2">
                          <c:v>HP</c:v>
                        </c:pt>
                        <c:pt idx="3">
                          <c:v>HP</c:v>
                        </c:pt>
                        <c:pt idx="4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monter_thief!$E$1:$E$33</c15:sqref>
                        </c15:fullRef>
                        <c15:formulaRef>
                          <c15:sqref>(monter_thief!$E$3,monter_thief!$E$10,monter_thief!$E$17,monter_thief!$E$24,monter_thief!$E$31)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6B2-4F06-A5D3-90C646475992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monter_thief!$A$1:$B$33</c15:sqref>
                        </c15:fullRef>
                        <c15:formulaRef>
                          <c15:sqref>(monter_thief!$A$3:$B$3,monter_thief!$A$10:$B$10,monter_thief!$A$17:$B$17,monter_thief!$A$24:$B$24,monter_thief!$A$31:$B$31)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HP</c:v>
                        </c:pt>
                        <c:pt idx="1">
                          <c:v>HP</c:v>
                        </c:pt>
                        <c:pt idx="2">
                          <c:v>HP</c:v>
                        </c:pt>
                        <c:pt idx="3">
                          <c:v>HP</c:v>
                        </c:pt>
                        <c:pt idx="4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monter_thief!$F$1:$F$33</c15:sqref>
                        </c15:fullRef>
                        <c15:formulaRef>
                          <c15:sqref>(monter_thief!$F$3,monter_thief!$F$10,monter_thief!$F$17,monter_thief!$F$24,monter_thief!$F$31)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0.2</c:v>
                      </c:pt>
                      <c:pt idx="1">
                        <c:v>0.2</c:v>
                      </c:pt>
                      <c:pt idx="2">
                        <c:v>0.2</c:v>
                      </c:pt>
                      <c:pt idx="3">
                        <c:v>0.2</c:v>
                      </c:pt>
                      <c:pt idx="4">
                        <c:v>0.2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D6B2-4F06-A5D3-90C646475992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monter_thief!$A$1:$B$33</c15:sqref>
                        </c15:fullRef>
                        <c15:formulaRef>
                          <c15:sqref>(monter_thief!$A$3:$B$3,monter_thief!$A$10:$B$10,monter_thief!$A$17:$B$17,monter_thief!$A$24:$B$24,monter_thief!$A$31:$B$31)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HP</c:v>
                        </c:pt>
                        <c:pt idx="1">
                          <c:v>HP</c:v>
                        </c:pt>
                        <c:pt idx="2">
                          <c:v>HP</c:v>
                        </c:pt>
                        <c:pt idx="3">
                          <c:v>HP</c:v>
                        </c:pt>
                        <c:pt idx="4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monter_thief!$G$1:$G$33</c15:sqref>
                        </c15:fullRef>
                        <c15:formulaRef>
                          <c15:sqref>(monter_thief!$G$3,monter_thief!$G$10,monter_thief!$G$17,monter_thief!$G$24,monter_thief!$G$31)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6B2-4F06-A5D3-90C646475992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monter_thief!$A$1:$B$33</c15:sqref>
                        </c15:fullRef>
                        <c15:formulaRef>
                          <c15:sqref>(monter_thief!$A$3:$B$3,monter_thief!$A$10:$B$10,monter_thief!$A$17:$B$17,monter_thief!$A$24:$B$24,monter_thief!$A$31:$B$31)</c15:sqref>
                        </c15:formulaRef>
                      </c:ext>
                    </c:extLst>
                    <c:multiLvlStrCache>
                      <c:ptCount val="5"/>
                      <c:lvl>
                        <c:pt idx="0">
                          <c:v>HP</c:v>
                        </c:pt>
                        <c:pt idx="1">
                          <c:v>HP</c:v>
                        </c:pt>
                        <c:pt idx="2">
                          <c:v>HP</c:v>
                        </c:pt>
                        <c:pt idx="3">
                          <c:v>HP</c:v>
                        </c:pt>
                        <c:pt idx="4">
                          <c:v>HP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monter_thief!$H$1:$H$33</c15:sqref>
                        </c15:fullRef>
                        <c15:formulaRef>
                          <c15:sqref>(monter_thief!$H$3,monter_thief!$H$10,monter_thief!$H$17,monter_thief!$H$24,monter_thief!$H$31)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D6B2-4F06-A5D3-90C646475992}"/>
                  </c:ext>
                </c:extLst>
              </c15:ser>
            </c15:filteredBarSeries>
          </c:ext>
        </c:extLst>
      </c:barChart>
      <c:catAx>
        <c:axId val="126131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313007"/>
        <c:crosses val="autoZero"/>
        <c:auto val="1"/>
        <c:lblAlgn val="ctr"/>
        <c:lblOffset val="100"/>
        <c:noMultiLvlLbl val="0"/>
      </c:catAx>
      <c:valAx>
        <c:axId val="12613130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613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585787</xdr:colOff>
      <xdr:row>0</xdr:row>
      <xdr:rowOff>28575</xdr:rowOff>
    </xdr:from>
    <xdr:to>
      <xdr:col>16</xdr:col>
      <xdr:colOff>280987</xdr:colOff>
      <xdr:row>14</xdr:row>
      <xdr:rowOff>104775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0</xdr:row>
      <xdr:rowOff>38100</xdr:rowOff>
    </xdr:from>
    <xdr:to>
      <xdr:col>17</xdr:col>
      <xdr:colOff>295275</xdr:colOff>
      <xdr:row>14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L32" sqref="L32"/>
    </sheetView>
  </sheetViews>
  <sheetFormatPr defaultRowHeight="15" x14ac:dyDescent="0.25"/>
  <cols>
    <col min="1" max="1" width="16.85546875" customWidth="1"/>
    <col min="2" max="2" width="14.28515625" customWidth="1"/>
    <col min="3" max="3" width="9.7109375" customWidth="1"/>
    <col min="4" max="4" width="37.140625" customWidth="1"/>
    <col min="5" max="5" width="10.5703125" bestFit="1" customWidth="1"/>
  </cols>
  <sheetData>
    <row r="1" spans="1:8" x14ac:dyDescent="0.25">
      <c r="A1" s="1" t="s">
        <v>30</v>
      </c>
      <c r="B1" s="1" t="s">
        <v>0</v>
      </c>
      <c r="C1" s="1">
        <v>30</v>
      </c>
      <c r="D1" s="3" t="s">
        <v>7</v>
      </c>
    </row>
    <row r="2" spans="1:8" ht="15" customHeight="1" x14ac:dyDescent="0.25">
      <c r="A2" s="1"/>
      <c r="B2" s="1" t="s">
        <v>2</v>
      </c>
      <c r="C2" s="1">
        <v>5</v>
      </c>
      <c r="D2" s="9" t="s">
        <v>14</v>
      </c>
      <c r="E2" s="4" t="s">
        <v>16</v>
      </c>
      <c r="F2" s="4">
        <v>1.2</v>
      </c>
      <c r="G2" s="4" t="s">
        <v>15</v>
      </c>
      <c r="H2" s="4">
        <f>C1*(30/F2)*F4</f>
        <v>750</v>
      </c>
    </row>
    <row r="3" spans="1:8" x14ac:dyDescent="0.25">
      <c r="A3" s="1"/>
      <c r="B3" s="1" t="s">
        <v>3</v>
      </c>
      <c r="C3" s="1">
        <v>1000</v>
      </c>
      <c r="D3" s="10"/>
      <c r="E3" s="2" t="s">
        <v>17</v>
      </c>
      <c r="F3" s="2">
        <v>0.2</v>
      </c>
      <c r="G3" s="2"/>
      <c r="H3" s="2"/>
    </row>
    <row r="4" spans="1:8" x14ac:dyDescent="0.25">
      <c r="A4" s="1"/>
      <c r="B4" s="1" t="s">
        <v>5</v>
      </c>
      <c r="C4" s="1">
        <v>7</v>
      </c>
      <c r="D4" s="10"/>
      <c r="E4" s="2" t="s">
        <v>18</v>
      </c>
      <c r="F4" s="2">
        <v>1</v>
      </c>
      <c r="G4" s="2"/>
      <c r="H4" s="2"/>
    </row>
    <row r="5" spans="1:8" x14ac:dyDescent="0.25">
      <c r="A5" s="1"/>
      <c r="B5" s="1" t="s">
        <v>6</v>
      </c>
      <c r="C5" s="1">
        <v>7</v>
      </c>
      <c r="D5" s="11"/>
      <c r="E5" s="2"/>
      <c r="F5" s="2"/>
      <c r="G5" s="2"/>
      <c r="H5" s="2"/>
    </row>
    <row r="8" spans="1:8" x14ac:dyDescent="0.25">
      <c r="A8" s="1" t="s">
        <v>31</v>
      </c>
      <c r="B8" s="1" t="s">
        <v>0</v>
      </c>
      <c r="C8" s="1">
        <v>20</v>
      </c>
      <c r="D8" s="3" t="s">
        <v>7</v>
      </c>
    </row>
    <row r="9" spans="1:8" x14ac:dyDescent="0.25">
      <c r="A9" s="1"/>
      <c r="B9" s="1" t="s">
        <v>2</v>
      </c>
      <c r="C9" s="1">
        <v>5</v>
      </c>
      <c r="D9" s="8" t="s">
        <v>8</v>
      </c>
      <c r="E9" s="4" t="s">
        <v>16</v>
      </c>
      <c r="F9" s="4">
        <v>0.6</v>
      </c>
      <c r="G9" s="4" t="s">
        <v>15</v>
      </c>
      <c r="H9" s="4">
        <f>C8*(30/F9)*F11</f>
        <v>1000</v>
      </c>
    </row>
    <row r="10" spans="1:8" x14ac:dyDescent="0.25">
      <c r="A10" s="1"/>
      <c r="B10" s="1" t="s">
        <v>3</v>
      </c>
      <c r="C10" s="1">
        <v>800</v>
      </c>
      <c r="D10" s="8"/>
      <c r="E10" s="2" t="s">
        <v>17</v>
      </c>
      <c r="F10" s="2">
        <v>0.2</v>
      </c>
      <c r="G10" s="2"/>
      <c r="H10" s="2"/>
    </row>
    <row r="11" spans="1:8" x14ac:dyDescent="0.25">
      <c r="A11" s="1"/>
      <c r="B11" s="1" t="s">
        <v>5</v>
      </c>
      <c r="C11" s="1">
        <v>5</v>
      </c>
      <c r="D11" s="8"/>
      <c r="E11" s="2" t="s">
        <v>18</v>
      </c>
      <c r="F11" s="2">
        <v>1</v>
      </c>
      <c r="G11" s="2"/>
      <c r="H11" s="2"/>
    </row>
    <row r="12" spans="1:8" x14ac:dyDescent="0.25">
      <c r="A12" s="1"/>
      <c r="B12" s="1" t="s">
        <v>6</v>
      </c>
      <c r="C12" s="1">
        <v>5</v>
      </c>
      <c r="D12" s="8"/>
      <c r="E12" s="2"/>
      <c r="F12" s="2"/>
      <c r="G12" s="2"/>
      <c r="H12" s="2"/>
    </row>
    <row r="15" spans="1:8" x14ac:dyDescent="0.25">
      <c r="A15" s="1" t="s">
        <v>32</v>
      </c>
      <c r="B15" s="1" t="s">
        <v>0</v>
      </c>
      <c r="C15" s="1">
        <v>5</v>
      </c>
      <c r="D15" s="3" t="s">
        <v>7</v>
      </c>
    </row>
    <row r="16" spans="1:8" x14ac:dyDescent="0.25">
      <c r="A16" s="1"/>
      <c r="B16" s="1" t="s">
        <v>2</v>
      </c>
      <c r="C16" s="1">
        <v>20</v>
      </c>
      <c r="D16" s="8" t="s">
        <v>13</v>
      </c>
      <c r="E16" s="4" t="s">
        <v>16</v>
      </c>
      <c r="F16" s="4">
        <v>1</v>
      </c>
      <c r="G16" s="4" t="s">
        <v>15</v>
      </c>
      <c r="H16" s="4">
        <f>C16*(30/F16)*F18</f>
        <v>600</v>
      </c>
    </row>
    <row r="17" spans="1:8" x14ac:dyDescent="0.25">
      <c r="A17" s="1"/>
      <c r="B17" s="1" t="s">
        <v>3</v>
      </c>
      <c r="C17" s="1">
        <v>800</v>
      </c>
      <c r="D17" s="8"/>
      <c r="E17" s="2" t="s">
        <v>17</v>
      </c>
      <c r="F17" s="2">
        <v>0.2</v>
      </c>
      <c r="G17" s="2"/>
      <c r="H17" s="2"/>
    </row>
    <row r="18" spans="1:8" x14ac:dyDescent="0.25">
      <c r="A18" s="1"/>
      <c r="B18" s="1" t="s">
        <v>5</v>
      </c>
      <c r="C18" s="1">
        <v>5</v>
      </c>
      <c r="D18" s="8"/>
      <c r="E18" s="2" t="s">
        <v>18</v>
      </c>
      <c r="F18" s="2">
        <v>1</v>
      </c>
      <c r="G18" s="2"/>
      <c r="H18" s="2"/>
    </row>
    <row r="19" spans="1:8" x14ac:dyDescent="0.25">
      <c r="A19" s="1"/>
      <c r="B19" s="1" t="s">
        <v>6</v>
      </c>
      <c r="C19" s="1">
        <v>5</v>
      </c>
      <c r="D19" s="8"/>
      <c r="E19" s="2"/>
      <c r="F19" s="2"/>
      <c r="G19" s="2"/>
      <c r="H19" s="2"/>
    </row>
    <row r="22" spans="1:8" x14ac:dyDescent="0.25">
      <c r="A22" s="1" t="s">
        <v>33</v>
      </c>
      <c r="B22" s="1" t="s">
        <v>0</v>
      </c>
      <c r="C22" s="1">
        <v>5</v>
      </c>
      <c r="D22" s="3" t="s">
        <v>7</v>
      </c>
    </row>
    <row r="23" spans="1:8" ht="15" customHeight="1" x14ac:dyDescent="0.25">
      <c r="A23" s="1"/>
      <c r="B23" s="1" t="s">
        <v>2</v>
      </c>
      <c r="C23" s="1">
        <v>30</v>
      </c>
      <c r="D23" s="8" t="s">
        <v>13</v>
      </c>
      <c r="E23" s="4" t="s">
        <v>16</v>
      </c>
      <c r="F23" s="4">
        <v>1.5</v>
      </c>
      <c r="G23" s="4" t="s">
        <v>15</v>
      </c>
      <c r="H23" s="4">
        <f>C23*(30/F23)*F25</f>
        <v>720</v>
      </c>
    </row>
    <row r="24" spans="1:8" x14ac:dyDescent="0.25">
      <c r="A24" s="1"/>
      <c r="B24" s="1" t="s">
        <v>3</v>
      </c>
      <c r="C24" s="1">
        <v>900</v>
      </c>
      <c r="D24" s="8"/>
      <c r="E24" s="2" t="s">
        <v>17</v>
      </c>
      <c r="F24" s="2">
        <v>0.2</v>
      </c>
      <c r="G24" s="2"/>
      <c r="H24" s="2"/>
    </row>
    <row r="25" spans="1:8" x14ac:dyDescent="0.25">
      <c r="A25" s="1"/>
      <c r="B25" s="1" t="s">
        <v>5</v>
      </c>
      <c r="C25" s="1">
        <v>5</v>
      </c>
      <c r="D25" s="8"/>
      <c r="E25" s="2" t="s">
        <v>18</v>
      </c>
      <c r="F25" s="2">
        <v>1.2</v>
      </c>
      <c r="G25" s="2"/>
      <c r="H25" s="2"/>
    </row>
    <row r="26" spans="1:8" x14ac:dyDescent="0.25">
      <c r="A26" s="1"/>
      <c r="B26" s="1" t="s">
        <v>6</v>
      </c>
      <c r="C26" s="1">
        <v>5</v>
      </c>
      <c r="D26" s="8"/>
      <c r="E26" s="2"/>
      <c r="F26" s="2"/>
      <c r="G26" s="2"/>
      <c r="H26" s="2"/>
    </row>
    <row r="29" spans="1:8" x14ac:dyDescent="0.25">
      <c r="A29" s="1" t="s">
        <v>34</v>
      </c>
      <c r="B29" s="1" t="s">
        <v>0</v>
      </c>
      <c r="C29" s="1">
        <v>35</v>
      </c>
      <c r="D29" s="3" t="s">
        <v>7</v>
      </c>
    </row>
    <row r="30" spans="1:8" x14ac:dyDescent="0.25">
      <c r="A30" s="1"/>
      <c r="B30" s="1" t="s">
        <v>2</v>
      </c>
      <c r="C30" s="1">
        <v>5</v>
      </c>
      <c r="D30" s="8" t="s">
        <v>13</v>
      </c>
      <c r="E30" s="4" t="s">
        <v>16</v>
      </c>
      <c r="F30" s="4">
        <v>1.5</v>
      </c>
      <c r="G30" s="4" t="s">
        <v>15</v>
      </c>
      <c r="H30" s="4">
        <f>C29*(30/F30)*F32</f>
        <v>1050</v>
      </c>
    </row>
    <row r="31" spans="1:8" x14ac:dyDescent="0.25">
      <c r="A31" s="1"/>
      <c r="B31" s="1" t="s">
        <v>3</v>
      </c>
      <c r="C31" s="1">
        <v>1500</v>
      </c>
      <c r="D31" s="8"/>
      <c r="E31" s="2" t="s">
        <v>17</v>
      </c>
      <c r="F31" s="2">
        <v>0.2</v>
      </c>
      <c r="G31" s="2"/>
      <c r="H31" s="2"/>
    </row>
    <row r="32" spans="1:8" x14ac:dyDescent="0.25">
      <c r="A32" s="1"/>
      <c r="B32" s="1" t="s">
        <v>5</v>
      </c>
      <c r="C32" s="1">
        <v>15</v>
      </c>
      <c r="D32" s="8"/>
      <c r="E32" s="2" t="s">
        <v>18</v>
      </c>
      <c r="F32" s="2">
        <v>1.5</v>
      </c>
      <c r="G32" s="2"/>
      <c r="H32" s="2"/>
    </row>
    <row r="33" spans="1:8" x14ac:dyDescent="0.25">
      <c r="A33" s="1"/>
      <c r="B33" s="1" t="s">
        <v>6</v>
      </c>
      <c r="C33" s="1">
        <v>15</v>
      </c>
      <c r="D33" s="8"/>
      <c r="E33" s="2"/>
      <c r="F33" s="2"/>
      <c r="G33" s="2"/>
      <c r="H33" s="2"/>
    </row>
  </sheetData>
  <mergeCells count="5">
    <mergeCell ref="D23:D26"/>
    <mergeCell ref="D30:D33"/>
    <mergeCell ref="D2:D5"/>
    <mergeCell ref="D9:D12"/>
    <mergeCell ref="D16:D1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M22" sqref="M22"/>
    </sheetView>
  </sheetViews>
  <sheetFormatPr defaultRowHeight="15" x14ac:dyDescent="0.25"/>
  <cols>
    <col min="1" max="1" width="16.85546875" customWidth="1"/>
    <col min="2" max="2" width="14.28515625" customWidth="1"/>
    <col min="3" max="3" width="9.7109375" customWidth="1"/>
    <col min="4" max="4" width="37.140625" customWidth="1"/>
    <col min="5" max="5" width="10.5703125" bestFit="1" customWidth="1"/>
  </cols>
  <sheetData>
    <row r="1" spans="1:8" x14ac:dyDescent="0.25">
      <c r="A1" s="7" t="s">
        <v>1</v>
      </c>
      <c r="B1" s="1" t="s">
        <v>0</v>
      </c>
      <c r="C1" s="1">
        <v>30</v>
      </c>
      <c r="D1" s="3" t="s">
        <v>7</v>
      </c>
    </row>
    <row r="2" spans="1:8" ht="15" customHeight="1" x14ac:dyDescent="0.25">
      <c r="A2" s="7"/>
      <c r="B2" s="1" t="s">
        <v>2</v>
      </c>
      <c r="C2" s="1">
        <v>5</v>
      </c>
      <c r="D2" s="9" t="s">
        <v>14</v>
      </c>
      <c r="E2" s="4" t="s">
        <v>16</v>
      </c>
      <c r="F2" s="4">
        <v>1.2</v>
      </c>
      <c r="G2" s="4" t="s">
        <v>15</v>
      </c>
      <c r="H2" s="4">
        <f>C1*(30/F2)*F4</f>
        <v>750</v>
      </c>
    </row>
    <row r="3" spans="1:8" x14ac:dyDescent="0.25">
      <c r="A3" s="7"/>
      <c r="B3" s="1" t="s">
        <v>3</v>
      </c>
      <c r="C3" s="1">
        <v>800</v>
      </c>
      <c r="D3" s="10"/>
      <c r="E3" s="2" t="s">
        <v>17</v>
      </c>
      <c r="F3" s="2">
        <v>0.2</v>
      </c>
      <c r="G3" s="2"/>
      <c r="H3" s="2"/>
    </row>
    <row r="4" spans="1:8" x14ac:dyDescent="0.25">
      <c r="A4" s="7"/>
      <c r="B4" s="1" t="s">
        <v>5</v>
      </c>
      <c r="C4" s="1">
        <v>5</v>
      </c>
      <c r="D4" s="10"/>
      <c r="E4" s="2" t="s">
        <v>18</v>
      </c>
      <c r="F4" s="2">
        <v>1</v>
      </c>
      <c r="G4" s="2"/>
      <c r="H4" s="2"/>
    </row>
    <row r="5" spans="1:8" x14ac:dyDescent="0.25">
      <c r="A5" s="7"/>
      <c r="B5" s="1" t="s">
        <v>6</v>
      </c>
      <c r="C5" s="1">
        <v>5</v>
      </c>
      <c r="D5" s="11"/>
      <c r="E5" s="2"/>
      <c r="F5" s="2"/>
      <c r="G5" s="2"/>
      <c r="H5" s="2"/>
    </row>
    <row r="8" spans="1:8" x14ac:dyDescent="0.25">
      <c r="A8" s="7" t="s">
        <v>10</v>
      </c>
      <c r="B8" s="1" t="s">
        <v>0</v>
      </c>
      <c r="C8" s="1">
        <v>20</v>
      </c>
      <c r="D8" s="3" t="s">
        <v>7</v>
      </c>
    </row>
    <row r="9" spans="1:8" x14ac:dyDescent="0.25">
      <c r="A9" s="7"/>
      <c r="B9" s="1" t="s">
        <v>2</v>
      </c>
      <c r="C9" s="1">
        <v>5</v>
      </c>
      <c r="D9" s="8" t="s">
        <v>8</v>
      </c>
      <c r="E9" s="4" t="s">
        <v>16</v>
      </c>
      <c r="F9" s="4">
        <v>0.6</v>
      </c>
      <c r="G9" s="4" t="s">
        <v>15</v>
      </c>
      <c r="H9" s="4">
        <f>C8*(30/F9)*F11</f>
        <v>1000</v>
      </c>
    </row>
    <row r="10" spans="1:8" x14ac:dyDescent="0.25">
      <c r="A10" s="7"/>
      <c r="B10" s="1" t="s">
        <v>3</v>
      </c>
      <c r="C10" s="1">
        <v>800</v>
      </c>
      <c r="D10" s="8"/>
      <c r="E10" s="2" t="s">
        <v>17</v>
      </c>
      <c r="F10" s="2">
        <v>0.2</v>
      </c>
      <c r="G10" s="2"/>
      <c r="H10" s="2"/>
    </row>
    <row r="11" spans="1:8" x14ac:dyDescent="0.25">
      <c r="A11" s="7"/>
      <c r="B11" s="1" t="s">
        <v>5</v>
      </c>
      <c r="C11" s="1">
        <v>5</v>
      </c>
      <c r="D11" s="8"/>
      <c r="E11" s="2" t="s">
        <v>18</v>
      </c>
      <c r="F11" s="2">
        <v>1</v>
      </c>
      <c r="G11" s="2"/>
      <c r="H11" s="2"/>
    </row>
    <row r="12" spans="1:8" x14ac:dyDescent="0.25">
      <c r="A12" s="7"/>
      <c r="B12" s="1" t="s">
        <v>6</v>
      </c>
      <c r="C12" s="1">
        <v>5</v>
      </c>
      <c r="D12" s="8"/>
      <c r="E12" s="2"/>
      <c r="F12" s="2"/>
      <c r="G12" s="2"/>
      <c r="H12" s="2"/>
    </row>
    <row r="15" spans="1:8" x14ac:dyDescent="0.25">
      <c r="A15" s="7" t="s">
        <v>9</v>
      </c>
      <c r="B15" s="1" t="s">
        <v>0</v>
      </c>
      <c r="C15" s="1">
        <v>15</v>
      </c>
      <c r="D15" s="3" t="s">
        <v>7</v>
      </c>
    </row>
    <row r="16" spans="1:8" x14ac:dyDescent="0.25">
      <c r="A16" s="7"/>
      <c r="B16" s="1" t="s">
        <v>2</v>
      </c>
      <c r="C16" s="1">
        <v>5</v>
      </c>
      <c r="D16" s="8" t="s">
        <v>8</v>
      </c>
      <c r="E16" s="4" t="s">
        <v>16</v>
      </c>
      <c r="F16" s="4">
        <v>1</v>
      </c>
      <c r="G16" s="4" t="s">
        <v>15</v>
      </c>
      <c r="H16" s="4">
        <f>C15*(30/F16)*F18</f>
        <v>450</v>
      </c>
    </row>
    <row r="17" spans="1:8" x14ac:dyDescent="0.25">
      <c r="A17" s="7"/>
      <c r="B17" s="1" t="s">
        <v>3</v>
      </c>
      <c r="C17" s="1">
        <v>1200</v>
      </c>
      <c r="D17" s="8"/>
      <c r="E17" s="2" t="s">
        <v>17</v>
      </c>
      <c r="F17" s="2">
        <v>0.2</v>
      </c>
      <c r="G17" s="2"/>
      <c r="H17" s="2"/>
    </row>
    <row r="18" spans="1:8" x14ac:dyDescent="0.25">
      <c r="A18" s="7"/>
      <c r="B18" s="1" t="s">
        <v>5</v>
      </c>
      <c r="C18" s="1">
        <v>10</v>
      </c>
      <c r="D18" s="8"/>
      <c r="E18" s="2" t="s">
        <v>18</v>
      </c>
      <c r="F18" s="2">
        <v>1</v>
      </c>
      <c r="G18" s="2"/>
      <c r="H18" s="2"/>
    </row>
    <row r="19" spans="1:8" x14ac:dyDescent="0.25">
      <c r="A19" s="7"/>
      <c r="B19" s="1" t="s">
        <v>6</v>
      </c>
      <c r="C19" s="1">
        <v>10</v>
      </c>
      <c r="D19" s="8"/>
      <c r="E19" s="2"/>
      <c r="F19" s="2"/>
      <c r="G19" s="2"/>
      <c r="H19" s="2"/>
    </row>
    <row r="22" spans="1:8" x14ac:dyDescent="0.25">
      <c r="A22" s="7" t="s">
        <v>11</v>
      </c>
      <c r="B22" s="1" t="s">
        <v>0</v>
      </c>
      <c r="C22" s="1">
        <v>10</v>
      </c>
      <c r="D22" s="3" t="s">
        <v>7</v>
      </c>
    </row>
    <row r="23" spans="1:8" x14ac:dyDescent="0.25">
      <c r="A23" s="7"/>
      <c r="B23" s="1" t="s">
        <v>2</v>
      </c>
      <c r="C23" s="1">
        <v>5</v>
      </c>
      <c r="D23" s="8" t="s">
        <v>8</v>
      </c>
      <c r="E23" s="4" t="s">
        <v>16</v>
      </c>
      <c r="F23" s="4">
        <v>1</v>
      </c>
      <c r="G23" s="4" t="s">
        <v>15</v>
      </c>
      <c r="H23" s="4">
        <f>C22*(30/F23)*F25</f>
        <v>300</v>
      </c>
    </row>
    <row r="24" spans="1:8" x14ac:dyDescent="0.25">
      <c r="A24" s="7"/>
      <c r="B24" s="1" t="s">
        <v>3</v>
      </c>
      <c r="C24" s="1">
        <v>1100</v>
      </c>
      <c r="D24" s="8"/>
      <c r="E24" s="2" t="s">
        <v>17</v>
      </c>
      <c r="F24" s="2">
        <v>0.2</v>
      </c>
      <c r="G24" s="2"/>
      <c r="H24" s="2"/>
    </row>
    <row r="25" spans="1:8" x14ac:dyDescent="0.25">
      <c r="A25" s="7"/>
      <c r="B25" s="1" t="s">
        <v>5</v>
      </c>
      <c r="C25" s="1">
        <v>7</v>
      </c>
      <c r="D25" s="8"/>
      <c r="E25" s="2" t="s">
        <v>18</v>
      </c>
      <c r="F25" s="2">
        <v>1</v>
      </c>
      <c r="G25" s="2"/>
      <c r="H25" s="2"/>
    </row>
    <row r="26" spans="1:8" x14ac:dyDescent="0.25">
      <c r="A26" s="7"/>
      <c r="B26" s="1" t="s">
        <v>6</v>
      </c>
      <c r="C26" s="1">
        <v>7</v>
      </c>
      <c r="D26" s="8"/>
      <c r="E26" s="2"/>
      <c r="F26" s="2"/>
      <c r="G26" s="2"/>
      <c r="H26" s="2"/>
    </row>
    <row r="29" spans="1:8" x14ac:dyDescent="0.25">
      <c r="A29" s="7" t="s">
        <v>12</v>
      </c>
      <c r="B29" s="1" t="s">
        <v>0</v>
      </c>
      <c r="C29" s="1">
        <v>5</v>
      </c>
      <c r="D29" s="3" t="s">
        <v>7</v>
      </c>
    </row>
    <row r="30" spans="1:8" x14ac:dyDescent="0.25">
      <c r="A30" s="7"/>
      <c r="B30" s="1" t="s">
        <v>2</v>
      </c>
      <c r="C30" s="1">
        <v>35</v>
      </c>
      <c r="D30" s="8" t="s">
        <v>13</v>
      </c>
      <c r="E30" s="4" t="s">
        <v>16</v>
      </c>
      <c r="F30" s="4">
        <v>1.5</v>
      </c>
      <c r="G30" s="4" t="s">
        <v>15</v>
      </c>
      <c r="H30" s="4">
        <f>C30*(30/F30)*F32</f>
        <v>1050</v>
      </c>
    </row>
    <row r="31" spans="1:8" x14ac:dyDescent="0.25">
      <c r="A31" s="7"/>
      <c r="B31" s="1" t="s">
        <v>3</v>
      </c>
      <c r="C31" s="1">
        <v>700</v>
      </c>
      <c r="D31" s="8"/>
      <c r="E31" s="2" t="s">
        <v>17</v>
      </c>
      <c r="F31" s="2">
        <v>0.2</v>
      </c>
      <c r="G31" s="2"/>
      <c r="H31" s="2"/>
    </row>
    <row r="32" spans="1:8" x14ac:dyDescent="0.25">
      <c r="A32" s="7"/>
      <c r="B32" s="1" t="s">
        <v>5</v>
      </c>
      <c r="C32" s="1">
        <v>5</v>
      </c>
      <c r="D32" s="8"/>
      <c r="E32" s="2" t="s">
        <v>18</v>
      </c>
      <c r="F32" s="2">
        <v>1.5</v>
      </c>
      <c r="G32" s="2"/>
      <c r="H32" s="2"/>
    </row>
    <row r="33" spans="1:8" x14ac:dyDescent="0.25">
      <c r="A33" s="7"/>
      <c r="B33" s="1" t="s">
        <v>6</v>
      </c>
      <c r="C33" s="1">
        <v>5</v>
      </c>
      <c r="D33" s="8"/>
      <c r="E33" s="2"/>
      <c r="F33" s="2"/>
      <c r="G33" s="2"/>
      <c r="H33" s="2"/>
    </row>
  </sheetData>
  <mergeCells count="10">
    <mergeCell ref="A22:A26"/>
    <mergeCell ref="D23:D26"/>
    <mergeCell ref="A29:A33"/>
    <mergeCell ref="D30:D33"/>
    <mergeCell ref="A1:A5"/>
    <mergeCell ref="D2:D5"/>
    <mergeCell ref="A8:A12"/>
    <mergeCell ref="D9:D12"/>
    <mergeCell ref="A15:A19"/>
    <mergeCell ref="D16:D1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H9" sqref="H9"/>
    </sheetView>
  </sheetViews>
  <sheetFormatPr defaultRowHeight="15" x14ac:dyDescent="0.25"/>
  <cols>
    <col min="1" max="1" width="12.28515625" bestFit="1" customWidth="1"/>
    <col min="2" max="2" width="12.5703125" bestFit="1" customWidth="1"/>
    <col min="4" max="4" width="39.5703125" customWidth="1"/>
    <col min="5" max="5" width="10.5703125" bestFit="1" customWidth="1"/>
    <col min="9" max="9" width="35.85546875" customWidth="1"/>
    <col min="10" max="10" width="10.5703125" bestFit="1" customWidth="1"/>
  </cols>
  <sheetData>
    <row r="1" spans="1:13" x14ac:dyDescent="0.25">
      <c r="A1" s="7" t="s">
        <v>19</v>
      </c>
      <c r="B1" s="1" t="s">
        <v>0</v>
      </c>
      <c r="C1" s="1">
        <v>20</v>
      </c>
      <c r="D1" s="3" t="s">
        <v>7</v>
      </c>
    </row>
    <row r="2" spans="1:13" x14ac:dyDescent="0.25">
      <c r="A2" s="7"/>
      <c r="B2" s="1" t="s">
        <v>2</v>
      </c>
      <c r="C2" s="1">
        <v>5</v>
      </c>
      <c r="D2" s="9" t="s">
        <v>14</v>
      </c>
      <c r="E2" s="4" t="s">
        <v>16</v>
      </c>
      <c r="F2" s="4">
        <v>3</v>
      </c>
      <c r="G2" s="4" t="s">
        <v>15</v>
      </c>
      <c r="H2" s="4">
        <f>C1*(30/F2)*F4</f>
        <v>200</v>
      </c>
    </row>
    <row r="3" spans="1:13" x14ac:dyDescent="0.25">
      <c r="A3" s="7"/>
      <c r="B3" s="1" t="s">
        <v>3</v>
      </c>
      <c r="C3" s="1">
        <v>1200</v>
      </c>
      <c r="D3" s="10"/>
      <c r="E3" s="2" t="s">
        <v>17</v>
      </c>
      <c r="F3" s="2">
        <v>0.2</v>
      </c>
      <c r="G3" s="2"/>
      <c r="H3" s="2"/>
    </row>
    <row r="4" spans="1:13" x14ac:dyDescent="0.25">
      <c r="A4" s="7"/>
      <c r="B4" s="1" t="s">
        <v>4</v>
      </c>
      <c r="C4" s="1">
        <v>200</v>
      </c>
      <c r="D4" s="10"/>
      <c r="E4" s="2" t="s">
        <v>18</v>
      </c>
      <c r="F4" s="2">
        <v>1</v>
      </c>
      <c r="G4" s="2"/>
      <c r="H4" s="2"/>
    </row>
    <row r="5" spans="1:13" x14ac:dyDescent="0.25">
      <c r="A5" s="7"/>
      <c r="B5" s="1" t="s">
        <v>5</v>
      </c>
      <c r="C5" s="1">
        <v>10</v>
      </c>
      <c r="D5" s="10"/>
      <c r="G5" s="2"/>
      <c r="H5" s="2"/>
    </row>
    <row r="6" spans="1:13" x14ac:dyDescent="0.25">
      <c r="A6" s="7"/>
      <c r="B6" s="1" t="s">
        <v>6</v>
      </c>
      <c r="C6" s="1">
        <v>10</v>
      </c>
      <c r="D6" s="11"/>
      <c r="E6" s="2"/>
      <c r="F6" s="2"/>
      <c r="G6" s="2"/>
      <c r="H6" s="2"/>
    </row>
    <row r="10" spans="1:13" x14ac:dyDescent="0.25">
      <c r="A10" s="7" t="s">
        <v>20</v>
      </c>
      <c r="B10" s="1" t="s">
        <v>0</v>
      </c>
      <c r="C10" s="1">
        <v>2</v>
      </c>
      <c r="D10" s="3" t="s">
        <v>7</v>
      </c>
      <c r="I10" s="3" t="s">
        <v>7</v>
      </c>
    </row>
    <row r="11" spans="1:13" x14ac:dyDescent="0.25">
      <c r="A11" s="7"/>
      <c r="B11" s="1" t="s">
        <v>2</v>
      </c>
      <c r="C11" s="1">
        <v>20</v>
      </c>
      <c r="D11" s="9" t="s">
        <v>21</v>
      </c>
      <c r="E11" s="4" t="s">
        <v>16</v>
      </c>
      <c r="F11" s="4">
        <v>2</v>
      </c>
      <c r="G11" s="4" t="s">
        <v>15</v>
      </c>
      <c r="H11" s="4">
        <f>C11*(30/F11)*F13</f>
        <v>300</v>
      </c>
      <c r="I11" s="9" t="s">
        <v>28</v>
      </c>
      <c r="J11" s="4" t="s">
        <v>16</v>
      </c>
      <c r="K11" s="4">
        <v>10</v>
      </c>
      <c r="L11" s="4" t="s">
        <v>25</v>
      </c>
      <c r="M11" s="4">
        <f>((C11*K13)+K16)*K14</f>
        <v>300</v>
      </c>
    </row>
    <row r="12" spans="1:13" x14ac:dyDescent="0.25">
      <c r="A12" s="7"/>
      <c r="B12" s="1" t="s">
        <v>3</v>
      </c>
      <c r="C12" s="1">
        <v>1200</v>
      </c>
      <c r="D12" s="10"/>
      <c r="E12" s="2" t="s">
        <v>17</v>
      </c>
      <c r="F12" s="2">
        <v>0.2</v>
      </c>
      <c r="G12" s="2"/>
      <c r="H12" s="2"/>
      <c r="I12" s="10"/>
      <c r="J12" s="2" t="s">
        <v>17</v>
      </c>
      <c r="K12" s="2">
        <v>5</v>
      </c>
      <c r="L12" s="2" t="s">
        <v>29</v>
      </c>
      <c r="M12" s="2">
        <f>M11*K15</f>
        <v>1200</v>
      </c>
    </row>
    <row r="13" spans="1:13" x14ac:dyDescent="0.25">
      <c r="A13" s="7"/>
      <c r="B13" s="1" t="s">
        <v>4</v>
      </c>
      <c r="C13" s="1">
        <v>200</v>
      </c>
      <c r="D13" s="10"/>
      <c r="E13" s="2" t="s">
        <v>18</v>
      </c>
      <c r="F13" s="2">
        <v>1</v>
      </c>
      <c r="G13" s="2"/>
      <c r="H13" s="2"/>
      <c r="I13" s="10"/>
      <c r="J13" s="2" t="s">
        <v>18</v>
      </c>
      <c r="K13" s="2">
        <v>1</v>
      </c>
      <c r="L13" s="2"/>
      <c r="M13" s="2"/>
    </row>
    <row r="14" spans="1:13" x14ac:dyDescent="0.25">
      <c r="A14" s="7"/>
      <c r="B14" s="1" t="s">
        <v>5</v>
      </c>
      <c r="C14" s="1">
        <v>5</v>
      </c>
      <c r="D14" s="10"/>
      <c r="G14" s="2"/>
      <c r="H14" s="2"/>
      <c r="I14" s="10"/>
      <c r="J14" s="2" t="s">
        <v>24</v>
      </c>
      <c r="K14" s="5">
        <v>3</v>
      </c>
      <c r="L14" s="2"/>
      <c r="M14" s="2"/>
    </row>
    <row r="15" spans="1:13" x14ac:dyDescent="0.25">
      <c r="A15" s="7"/>
      <c r="B15" s="1" t="s">
        <v>6</v>
      </c>
      <c r="C15" s="1">
        <v>5</v>
      </c>
      <c r="D15" s="11"/>
      <c r="E15" s="2"/>
      <c r="F15" s="2"/>
      <c r="G15" s="2"/>
      <c r="H15" s="2"/>
      <c r="I15" s="11"/>
      <c r="J15" s="2" t="s">
        <v>26</v>
      </c>
      <c r="K15" s="2">
        <v>4</v>
      </c>
      <c r="L15" s="2"/>
      <c r="M15" s="2"/>
    </row>
    <row r="16" spans="1:13" x14ac:dyDescent="0.25">
      <c r="J16" s="6" t="s">
        <v>27</v>
      </c>
      <c r="K16" s="6">
        <v>80</v>
      </c>
    </row>
    <row r="19" spans="1:8" x14ac:dyDescent="0.25">
      <c r="A19" s="7" t="s">
        <v>22</v>
      </c>
      <c r="B19" s="1" t="s">
        <v>0</v>
      </c>
      <c r="C19" s="1">
        <v>2</v>
      </c>
      <c r="D19" s="3" t="s">
        <v>7</v>
      </c>
    </row>
    <row r="20" spans="1:8" x14ac:dyDescent="0.25">
      <c r="A20" s="7"/>
      <c r="B20" s="1" t="s">
        <v>2</v>
      </c>
      <c r="C20" s="1">
        <v>20</v>
      </c>
      <c r="D20" s="9" t="s">
        <v>23</v>
      </c>
      <c r="E20" s="4" t="s">
        <v>16</v>
      </c>
      <c r="F20" s="4">
        <v>2</v>
      </c>
      <c r="G20" s="4"/>
      <c r="H20" s="4"/>
    </row>
    <row r="21" spans="1:8" x14ac:dyDescent="0.25">
      <c r="A21" s="7"/>
      <c r="B21" s="1" t="s">
        <v>3</v>
      </c>
      <c r="C21" s="1">
        <v>1200</v>
      </c>
      <c r="D21" s="10"/>
      <c r="E21" s="2" t="s">
        <v>17</v>
      </c>
      <c r="F21" s="2">
        <v>0.2</v>
      </c>
      <c r="G21" s="2"/>
      <c r="H21" s="2"/>
    </row>
    <row r="22" spans="1:8" x14ac:dyDescent="0.25">
      <c r="A22" s="7"/>
      <c r="B22" s="1" t="s">
        <v>4</v>
      </c>
      <c r="C22" s="1">
        <v>200</v>
      </c>
      <c r="D22" s="10"/>
      <c r="E22" s="2" t="s">
        <v>18</v>
      </c>
      <c r="F22" s="2">
        <v>1</v>
      </c>
      <c r="G22" s="2"/>
      <c r="H22" s="2"/>
    </row>
    <row r="23" spans="1:8" x14ac:dyDescent="0.25">
      <c r="A23" s="7"/>
      <c r="B23" s="1" t="s">
        <v>5</v>
      </c>
      <c r="C23" s="1">
        <v>5</v>
      </c>
      <c r="D23" s="10"/>
      <c r="G23" s="2"/>
      <c r="H23" s="2"/>
    </row>
    <row r="24" spans="1:8" x14ac:dyDescent="0.25">
      <c r="A24" s="7"/>
      <c r="B24" s="1" t="s">
        <v>6</v>
      </c>
      <c r="C24" s="1">
        <v>5</v>
      </c>
      <c r="D24" s="11"/>
      <c r="E24" s="2"/>
      <c r="F24" s="2"/>
      <c r="G24" s="2"/>
      <c r="H24" s="2"/>
    </row>
  </sheetData>
  <mergeCells count="7">
    <mergeCell ref="A19:A24"/>
    <mergeCell ref="D20:D24"/>
    <mergeCell ref="I11:I15"/>
    <mergeCell ref="A1:A6"/>
    <mergeCell ref="D2:D6"/>
    <mergeCell ref="A10:A15"/>
    <mergeCell ref="D11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monter_skeleton</vt:lpstr>
      <vt:lpstr>monter_thief</vt:lpstr>
      <vt:lpstr>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2026-10-03T08:48:51Z</dcterms:modified>
</cp:coreProperties>
</file>